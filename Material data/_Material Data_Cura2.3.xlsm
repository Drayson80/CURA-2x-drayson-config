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EBERLC\Documents\GitHub\CURA-2x-drayson-config\Material data\"/>
    </mc:Choice>
  </mc:AlternateContent>
  <bookViews>
    <workbookView xWindow="240" yWindow="105" windowWidth="14805" windowHeight="8010" activeTab="1"/>
  </bookViews>
  <sheets>
    <sheet name="material_data" sheetId="1" r:id="rId1"/>
    <sheet name="parser" sheetId="3" r:id="rId2"/>
    <sheet name="Colors" sheetId="4" r:id="rId3"/>
  </sheets>
  <definedNames>
    <definedName name="_xlnm._FilterDatabase" localSheetId="0" hidden="1">material_data!$C$27:$AA$100</definedName>
  </definedNames>
  <calcPr calcId="171027"/>
</workbook>
</file>

<file path=xl/calcChain.xml><?xml version="1.0" encoding="utf-8"?>
<calcChain xmlns="http://schemas.openxmlformats.org/spreadsheetml/2006/main">
  <c r="F30" i="3" l="1"/>
  <c r="F29" i="3"/>
  <c r="D28" i="3"/>
  <c r="F28" i="3" s="1"/>
  <c r="D27" i="3"/>
  <c r="N17" i="1" l="1"/>
  <c r="N12" i="1"/>
  <c r="N14" i="1" s="1"/>
  <c r="P15" i="1" s="1"/>
  <c r="N18" i="1" l="1"/>
  <c r="A100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29" i="1"/>
  <c r="A28" i="1"/>
  <c r="B28" i="1"/>
  <c r="C7" i="3" l="1"/>
  <c r="C6" i="3" s="1"/>
  <c r="C5" i="3" s="1"/>
  <c r="C4" i="3" s="1"/>
  <c r="D13" i="3"/>
  <c r="F13" i="3" s="1"/>
  <c r="D12" i="3"/>
  <c r="F12" i="3" s="1"/>
  <c r="D10" i="3"/>
  <c r="D19" i="3"/>
  <c r="D9" i="3"/>
  <c r="D25" i="3"/>
  <c r="F25" i="3" s="1"/>
  <c r="B29" i="3"/>
  <c r="D29" i="3" s="1"/>
  <c r="D26" i="3"/>
  <c r="F26" i="3" s="1"/>
  <c r="B30" i="3"/>
  <c r="D30" i="3" s="1"/>
  <c r="D31" i="3"/>
  <c r="D20" i="3"/>
  <c r="C3" i="3" l="1"/>
  <c r="D16" i="3" s="1"/>
  <c r="F27" i="3"/>
  <c r="F31" i="3"/>
  <c r="F20" i="3"/>
  <c r="B29" i="1" l="1"/>
  <c r="B30" i="1" s="1"/>
  <c r="B31" i="1" s="1"/>
  <c r="B32" i="1" s="1"/>
  <c r="B33" i="1" s="1"/>
  <c r="B34" i="1" s="1"/>
  <c r="B35" i="1" s="1"/>
  <c r="B36" i="1" l="1"/>
  <c r="B37" i="1" l="1"/>
  <c r="B38" i="1" s="1"/>
  <c r="B39" i="1" l="1"/>
  <c r="B40" i="1" s="1"/>
  <c r="B41" i="1" s="1"/>
  <c r="B42" i="1" s="1"/>
  <c r="D14" i="3"/>
  <c r="F14" i="3" s="1"/>
  <c r="F19" i="3"/>
  <c r="F9" i="3"/>
  <c r="N6" i="1" s="1"/>
  <c r="D7" i="3"/>
  <c r="F7" i="3" s="1"/>
  <c r="F10" i="3"/>
  <c r="N7" i="1" s="1"/>
  <c r="D8" i="3"/>
  <c r="F8" i="3" s="1"/>
  <c r="N5" i="1" s="1"/>
  <c r="B43" i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N4" i="1" l="1"/>
  <c r="F16" i="3" l="1"/>
  <c r="O109" i="1" l="1"/>
  <c r="H3" i="3"/>
  <c r="D3" i="1"/>
</calcChain>
</file>

<file path=xl/sharedStrings.xml><?xml version="1.0" encoding="utf-8"?>
<sst xmlns="http://schemas.openxmlformats.org/spreadsheetml/2006/main" count="395" uniqueCount="272">
  <si>
    <t>Colorfabb</t>
  </si>
  <si>
    <t>Color</t>
  </si>
  <si>
    <t>PLA</t>
  </si>
  <si>
    <t>twoBEars</t>
  </si>
  <si>
    <t>Extrudr</t>
  </si>
  <si>
    <t>Pearl</t>
  </si>
  <si>
    <t>XT</t>
  </si>
  <si>
    <t>1.35 - 1.37 g/cm3</t>
  </si>
  <si>
    <t>60-70C</t>
  </si>
  <si>
    <t>40 - 70 mm/s</t>
  </si>
  <si>
    <t>Speed</t>
  </si>
  <si>
    <t>240-260C</t>
  </si>
  <si>
    <t>195-220C*</t>
  </si>
  <si>
    <t>40 - 100 mm/s</t>
  </si>
  <si>
    <t>50-60C</t>
  </si>
  <si>
    <t>woodFill</t>
  </si>
  <si>
    <t>glowFill</t>
  </si>
  <si>
    <t>bronzeFill</t>
  </si>
  <si>
    <t>1.210-1.430 g·cm-3</t>
  </si>
  <si>
    <t>3.9 g·cm-3</t>
  </si>
  <si>
    <t>PETG</t>
  </si>
  <si>
    <t>160°C – 200°C</t>
  </si>
  <si>
    <t>205 ° C</t>
  </si>
  <si>
    <t>80 ° C</t>
  </si>
  <si>
    <t>&lt; 120 mm/s</t>
  </si>
  <si>
    <t>NinjaTek</t>
  </si>
  <si>
    <t>85A</t>
  </si>
  <si>
    <t>225°C – 235°C</t>
  </si>
  <si>
    <t>40°C</t>
  </si>
  <si>
    <t>10-20 mm/ sec</t>
  </si>
  <si>
    <t>195 °C</t>
  </si>
  <si>
    <t xml:space="preserve">mexhibit </t>
  </si>
  <si>
    <t>Shore Hardness</t>
  </si>
  <si>
    <t>Spec</t>
  </si>
  <si>
    <t>[general]</t>
  </si>
  <si>
    <t>0.1</t>
  </si>
  <si>
    <t>0.25</t>
  </si>
  <si>
    <t>60C</t>
  </si>
  <si>
    <t>LayBrick</t>
  </si>
  <si>
    <t>0.15</t>
  </si>
  <si>
    <t>false</t>
  </si>
  <si>
    <t>black</t>
  </si>
  <si>
    <t>Ninjaflex</t>
  </si>
  <si>
    <t>PVA_support</t>
  </si>
  <si>
    <t>retraction_enable
default = true</t>
  </si>
  <si>
    <t>[settings] =&gt; empty means default</t>
  </si>
  <si>
    <t>Reflect-O-Lay</t>
  </si>
  <si>
    <t>PolySupport</t>
  </si>
  <si>
    <t>PolyMaker</t>
  </si>
  <si>
    <t>PolyFlex</t>
  </si>
  <si>
    <t>PolyMax</t>
  </si>
  <si>
    <t>white</t>
  </si>
  <si>
    <t>165°C – 190°C für glatte Oberflächen</t>
  </si>
  <si>
    <t>ab 210°C für rauhe Oberflächen</t>
  </si>
  <si>
    <t>30-60 mm/s</t>
  </si>
  <si>
    <t>LAY</t>
  </si>
  <si>
    <t>95A</t>
  </si>
  <si>
    <t>220° – 235°C</t>
  </si>
  <si>
    <t>30 – 60 mm/s</t>
  </si>
  <si>
    <t>1,17 – 1,24 g/cm³</t>
  </si>
  <si>
    <t>180° – 200°C</t>
  </si>
  <si>
    <t>40 – 120 mm/s</t>
  </si>
  <si>
    <t>1,25 g/cm³</t>
  </si>
  <si>
    <t>material profile content</t>
  </si>
  <si>
    <t>Taulman</t>
  </si>
  <si>
    <t>Bridge</t>
  </si>
  <si>
    <t>To dry nylon filament, place it in an oven at 180°F - 200°F for 6 to 8 hours.</t>
  </si>
  <si>
    <t>C2 &amp; D3 fixed for file export</t>
  </si>
  <si>
    <t>Nylon</t>
  </si>
  <si>
    <t>Brand</t>
  </si>
  <si>
    <t>2.85</t>
  </si>
  <si>
    <t>Export: Name+Extention .xml.fdm_material</t>
  </si>
  <si>
    <t>print temperature</t>
  </si>
  <si>
    <t>heated bed temperature</t>
  </si>
  <si>
    <t>density [g/cm³]</t>
  </si>
  <si>
    <t xml:space="preserve">    &lt;/name&gt;</t>
  </si>
  <si>
    <t xml:space="preserve">    &lt;version&gt;1&lt;/version&gt;</t>
  </si>
  <si>
    <t xml:space="preserve">  &lt;/metadata&gt;</t>
  </si>
  <si>
    <t xml:space="preserve">  &lt;properties&gt;</t>
  </si>
  <si>
    <t xml:space="preserve">  &lt;/properties&gt;</t>
  </si>
  <si>
    <t xml:space="preserve">  &lt;settings&gt;</t>
  </si>
  <si>
    <t>"</t>
  </si>
  <si>
    <t>&lt;?xml version='1.0' encoding='cp1252'?&gt;
&lt;fdmmaterial xmlns="http://www.ultimaker.com/material"&gt;
  &lt;metadata&gt;
    &lt;name&gt;</t>
  </si>
  <si>
    <t xml:space="preserve">  &lt;/settings&gt;
&lt;/fdmmaterial&gt;</t>
  </si>
  <si>
    <t>generic</t>
  </si>
  <si>
    <t>Ultimaker Original</t>
  </si>
  <si>
    <t>Ultimaker 2 Go</t>
  </si>
  <si>
    <t>Ultimaker 2 Extended+</t>
  </si>
  <si>
    <t>Ultimaker 2 Extended</t>
  </si>
  <si>
    <t>Ultimaker 2</t>
  </si>
  <si>
    <t>Ultimaker 2+</t>
  </si>
  <si>
    <t>Export for:</t>
  </si>
  <si>
    <t>pearl</t>
  </si>
  <si>
    <t>linen</t>
  </si>
  <si>
    <t>layer</t>
  </si>
  <si>
    <t>flow</t>
  </si>
  <si>
    <t>speed</t>
  </si>
  <si>
    <t>material flow</t>
  </si>
  <si>
    <t>speed print</t>
  </si>
  <si>
    <t>layer height</t>
  </si>
  <si>
    <t>adhesion info</t>
  </si>
  <si>
    <t>default</t>
  </si>
  <si>
    <t>retraction</t>
  </si>
  <si>
    <t xml:space="preserve">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</t>
  </si>
  <si>
    <t xml:space="preserve">    &lt;machine&gt;
      &lt;machine_identifier manufacturer="Ultimaker" product="Ultimaker 2 Go"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</si>
  <si>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 Extended"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</si>
  <si>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</si>
  <si>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2+" /&gt;
      &lt;setting key="retraction speed"&gt;0.0&lt;/setting&gt;
      &lt;setting key="print cooling"&gt;0.0&lt;/setting&gt;
      &lt;setting key="retraction amount"&gt;0.0&lt;/setting&gt;
      &lt;hotend id="0.8 mm" /&gt;
      &lt;hotend id="0.25 mm" /&gt;
      &lt;hotend id="0.4 mm" /&gt;
      &lt;hotend id="0.6 mm" /&gt;
    &lt;/machine&gt;</t>
  </si>
  <si>
    <t>1.240</t>
  </si>
  <si>
    <t>80</t>
  </si>
  <si>
    <t>material print temperature</t>
  </si>
  <si>
    <t>density 
[g/cm³]</t>
  </si>
  <si>
    <t>170</t>
  </si>
  <si>
    <t>cost</t>
  </si>
  <si>
    <t>description</t>
  </si>
  <si>
    <t>bgcolor=</t>
  </si>
  <si>
    <t>Red&lt;</t>
  </si>
  <si>
    <t>Green</t>
  </si>
  <si>
    <t>Blue</t>
  </si>
  <si>
    <t>#000000</t>
  </si>
  <si>
    <t>#FFFFFF</t>
  </si>
  <si>
    <t>#FF0000</t>
  </si>
  <si>
    <t>#00FF00</t>
  </si>
  <si>
    <t>#0000FF</t>
  </si>
  <si>
    <t>#FFFF00</t>
  </si>
  <si>
    <t>#FF00FF</t>
  </si>
  <si>
    <t>#00FFFF</t>
  </si>
  <si>
    <t>#800000</t>
  </si>
  <si>
    <t>#008000</t>
  </si>
  <si>
    <t>#000080</t>
  </si>
  <si>
    <t>#808000</t>
  </si>
  <si>
    <t>#800080</t>
  </si>
  <si>
    <t>#008080</t>
  </si>
  <si>
    <t>#C0C0C0</t>
  </si>
  <si>
    <t>#808080</t>
  </si>
  <si>
    <t>#9999FF</t>
  </si>
  <si>
    <t>#993366</t>
  </si>
  <si>
    <t>#FFFFCC</t>
  </si>
  <si>
    <t>#CCFFFF</t>
  </si>
  <si>
    <t>#660066</t>
  </si>
  <si>
    <t>#FF8080</t>
  </si>
  <si>
    <t>#0066CC</t>
  </si>
  <si>
    <t>#CCCCFF</t>
  </si>
  <si>
    <t>#00CCFF</t>
  </si>
  <si>
    <t>#CCFFCC</t>
  </si>
  <si>
    <t>#FFFF99</t>
  </si>
  <si>
    <t>#99CCFF</t>
  </si>
  <si>
    <t>#FF99CC</t>
  </si>
  <si>
    <t>#CC99FF</t>
  </si>
  <si>
    <t>#FFCC99</t>
  </si>
  <si>
    <t>#3366FF</t>
  </si>
  <si>
    <t>#33CCCC</t>
  </si>
  <si>
    <t>#99CC00</t>
  </si>
  <si>
    <t>#FFCC00</t>
  </si>
  <si>
    <t>#FF9900</t>
  </si>
  <si>
    <t>#FF6600</t>
  </si>
  <si>
    <t>#666699</t>
  </si>
  <si>
    <t>#969696</t>
  </si>
  <si>
    <t>#003366</t>
  </si>
  <si>
    <t>#339966</t>
  </si>
  <si>
    <t>#003300</t>
  </si>
  <si>
    <t>#333300</t>
  </si>
  <si>
    <t>#993300</t>
  </si>
  <si>
    <t>#333399</t>
  </si>
  <si>
    <t>#333333</t>
  </si>
  <si>
    <t>y</t>
  </si>
  <si>
    <t>#</t>
  </si>
  <si>
    <t>Support</t>
  </si>
  <si>
    <t>Special</t>
  </si>
  <si>
    <t>Flex</t>
  </si>
  <si>
    <t>PET</t>
  </si>
  <si>
    <t>10</t>
  </si>
  <si>
    <t>Top/bottom speed 15mm/s</t>
  </si>
  <si>
    <t>not required</t>
  </si>
  <si>
    <t>225 – 235 °C</t>
  </si>
  <si>
    <t>≤ 50 mm/s</t>
  </si>
  <si>
    <t>Change in print speed for support required</t>
  </si>
  <si>
    <t>Cooling fan full ON at 15mm</t>
  </si>
  <si>
    <t>select material</t>
  </si>
  <si>
    <t>BioFila</t>
  </si>
  <si>
    <t>cotton</t>
  </si>
  <si>
    <t>CF20</t>
  </si>
  <si>
    <t>nGen</t>
  </si>
  <si>
    <t>transparent</t>
  </si>
  <si>
    <t>HT</t>
  </si>
  <si>
    <t>250-280C</t>
  </si>
  <si>
    <t>30 - 50 mm/s</t>
  </si>
  <si>
    <t>100-120C</t>
  </si>
  <si>
    <t>#fff7dd</t>
  </si>
  <si>
    <t>#2d2d2d</t>
  </si>
  <si>
    <t>#ffffff</t>
  </si>
  <si>
    <t>#fff4b4</t>
  </si>
  <si>
    <t>#bfa521</t>
  </si>
  <si>
    <t>#15ffa9</t>
  </si>
  <si>
    <t>#bd790b</t>
  </si>
  <si>
    <t>#ffaa00</t>
  </si>
  <si>
    <t>Farbe</t>
  </si>
  <si>
    <t>#ebebeb</t>
  </si>
  <si>
    <t>KEEP AS DRY AS  POSSIBLE!</t>
  </si>
  <si>
    <t>1.36</t>
  </si>
  <si>
    <t>30</t>
  </si>
  <si>
    <t>5.0</t>
  </si>
  <si>
    <t>#fffdb7</t>
  </si>
  <si>
    <t>#dedede</t>
  </si>
  <si>
    <t xml:space="preserve">    &lt;machine&gt;
      &lt;machine_identifier manufacturer="Ultimaker" product="Ultimaker 2 Extended+" /&gt;
      &lt;setting key="retraction speed"&gt;0.0&lt;/setting&gt;
      &lt;setting key="print cooling"&gt;0.0&lt;/setting&gt;
      &lt;setting key="retraction amount"&gt;0.0&lt;/setting&gt;
      &lt;hotend id="0.25 mm" /&gt;
      &lt;hotend id="0.8 mm" /&gt;
      &lt;hotend id="0.4 mm" /&gt;
      &lt;hotend id="0.6 mm" /&gt;
    &lt;/machine&gt;
</t>
  </si>
  <si>
    <t xml:space="preserve">
</t>
  </si>
  <si>
    <t>GIUD</t>
  </si>
  <si>
    <t>OUTPUT</t>
  </si>
  <si>
    <t>Combiner</t>
  </si>
  <si>
    <t>#aaaa7f</t>
  </si>
  <si>
    <t>standby temperature
default = 170</t>
  </si>
  <si>
    <t>print cooling
default = 80%</t>
  </si>
  <si>
    <t>stone_fine</t>
  </si>
  <si>
    <t>stone_rough</t>
  </si>
  <si>
    <t>Material Type</t>
  </si>
  <si>
    <t>Special PLA</t>
  </si>
  <si>
    <t>Special XT</t>
  </si>
  <si>
    <t>#f1ece1</t>
  </si>
  <si>
    <t>Ultimaker</t>
  </si>
  <si>
    <t>Material from 2014</t>
  </si>
  <si>
    <t>heated bed temperature
default = 55</t>
  </si>
  <si>
    <t>retraction_speed
default = 40</t>
  </si>
  <si>
    <t>108</t>
  </si>
  <si>
    <t>retraction_amount
default = 4.5</t>
  </si>
  <si>
    <t>Green-TEC</t>
  </si>
  <si>
    <t>silver</t>
  </si>
  <si>
    <t>100</t>
  </si>
  <si>
    <t>0-60°C</t>
  </si>
  <si>
    <t>170-230°C</t>
  </si>
  <si>
    <t>bis 120mm/s</t>
  </si>
  <si>
    <t>Info</t>
  </si>
  <si>
    <t xml:space="preserve"> </t>
  </si>
  <si>
    <t>Description/Notes</t>
  </si>
  <si>
    <t>Adhesion Info</t>
  </si>
  <si>
    <t>Hairspray or Carbon Plate suggested</t>
  </si>
  <si>
    <t>cm</t>
  </si>
  <si>
    <t>cm²</t>
  </si>
  <si>
    <t>cm hoch</t>
  </si>
  <si>
    <t>cm³</t>
  </si>
  <si>
    <t>g/m</t>
  </si>
  <si>
    <t>g/cm</t>
  </si>
  <si>
    <t>1,19-1,25 g/cm³</t>
  </si>
  <si>
    <t>1.20 – 1.25 g/cm³</t>
  </si>
  <si>
    <t>1.25 - 1.35 g/cm³</t>
  </si>
  <si>
    <t>g/cm³</t>
  </si>
  <si>
    <t>Filament-Dichte-Umrechnung</t>
  </si>
  <si>
    <t>Dichte</t>
  </si>
  <si>
    <t>1,16 g/cm³</t>
  </si>
  <si>
    <t>durchmesser filament</t>
  </si>
  <si>
    <t>fläche filament</t>
  </si>
  <si>
    <t>Volumen hat 1 cm filament</t>
  </si>
  <si>
    <t>faktor</t>
  </si>
  <si>
    <t>1.16</t>
  </si>
  <si>
    <t>1.30</t>
  </si>
  <si>
    <t>3.90</t>
  </si>
  <si>
    <t>1.21</t>
  </si>
  <si>
    <t>1.25</t>
  </si>
  <si>
    <t>1.19</t>
  </si>
  <si>
    <t>1.23</t>
  </si>
  <si>
    <t>1.23  g/cm³</t>
  </si>
  <si>
    <t>215°C</t>
  </si>
  <si>
    <t>natural</t>
  </si>
  <si>
    <t>#f5f2d1</t>
  </si>
  <si>
    <t>Export ready</t>
  </si>
  <si>
    <t>FormFutura</t>
  </si>
  <si>
    <t>Vulcano</t>
  </si>
  <si>
    <t>± 220 - 255° C</t>
  </si>
  <si>
    <t>High</t>
  </si>
  <si>
    <t>± 0 - 60° C</t>
  </si>
  <si>
    <t>Annealing: preheat oven at 110°C, threaten time: small -20min, large -60min, cooldown oven to room temp with object inside</t>
  </si>
  <si>
    <t>true</t>
  </si>
  <si>
    <t>NinjaTek_Ninjaflex_black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</si>
</sst>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"/>
    <numFmt numFmtId="166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rgb="FF008000"/>
      <name val="Arial"/>
      <family val="2"/>
    </font>
    <font>
      <b/>
      <sz val="10"/>
      <color rgb="FF0000FF"/>
      <name val="Arial"/>
      <family val="2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5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0" applyFont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49" fontId="0" fillId="3" borderId="0" xfId="0" applyNumberFormat="1" applyFill="1" applyAlignment="1">
      <alignment horizontal="center" vertical="top"/>
    </xf>
    <xf numFmtId="0" fontId="0" fillId="0" borderId="0" xfId="0" applyFill="1" applyAlignment="1">
      <alignment vertical="top"/>
    </xf>
    <xf numFmtId="49" fontId="0" fillId="0" borderId="0" xfId="0" applyNumberFormat="1" applyFill="1" applyAlignment="1">
      <alignment horizontal="center" vertical="top"/>
    </xf>
    <xf numFmtId="0" fontId="0" fillId="4" borderId="13" xfId="0" applyFill="1" applyBorder="1" applyAlignment="1">
      <alignment vertical="center"/>
    </xf>
    <xf numFmtId="0" fontId="0" fillId="0" borderId="0" xfId="0" applyNumberFormat="1" applyAlignment="1">
      <alignment horizontal="center" vertical="top"/>
    </xf>
    <xf numFmtId="0" fontId="0" fillId="0" borderId="0" xfId="0" applyNumberFormat="1" applyFill="1" applyAlignment="1">
      <alignment horizontal="center" vertical="top"/>
    </xf>
    <xf numFmtId="0" fontId="0" fillId="3" borderId="0" xfId="0" applyNumberFormat="1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1" fontId="0" fillId="2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49" fontId="0" fillId="2" borderId="0" xfId="0" applyNumberFormat="1" applyFill="1" applyAlignment="1">
      <alignment horizontal="center" vertical="top"/>
    </xf>
    <xf numFmtId="0" fontId="0" fillId="4" borderId="0" xfId="0" applyFill="1"/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indent="2"/>
    </xf>
    <xf numFmtId="0" fontId="0" fillId="6" borderId="5" xfId="0" applyFill="1" applyBorder="1" applyAlignment="1">
      <alignment horizontal="center" vertical="top"/>
    </xf>
    <xf numFmtId="0" fontId="0" fillId="0" borderId="1" xfId="0" applyBorder="1"/>
    <xf numFmtId="0" fontId="0" fillId="0" borderId="3" xfId="0" applyBorder="1"/>
    <xf numFmtId="0" fontId="0" fillId="0" borderId="19" xfId="0" applyBorder="1"/>
    <xf numFmtId="0" fontId="0" fillId="0" borderId="20" xfId="0" applyBorder="1" applyAlignment="1">
      <alignment vertical="top"/>
    </xf>
    <xf numFmtId="0" fontId="0" fillId="0" borderId="4" xfId="0" applyBorder="1"/>
    <xf numFmtId="49" fontId="0" fillId="0" borderId="0" xfId="0" applyNumberFormat="1"/>
    <xf numFmtId="2" fontId="0" fillId="0" borderId="0" xfId="0" applyNumberFormat="1"/>
    <xf numFmtId="0" fontId="0" fillId="4" borderId="5" xfId="0" applyFill="1" applyBorder="1" applyAlignment="1">
      <alignment horizontal="center" vertical="top" wrapText="1"/>
    </xf>
    <xf numFmtId="0" fontId="0" fillId="6" borderId="5" xfId="0" applyFill="1" applyBorder="1" applyAlignment="1">
      <alignment horizontal="center" vertical="top" wrapText="1"/>
    </xf>
    <xf numFmtId="0" fontId="0" fillId="0" borderId="0" xfId="0" applyFill="1"/>
    <xf numFmtId="0" fontId="0" fillId="4" borderId="0" xfId="0" applyFill="1" applyBorder="1"/>
    <xf numFmtId="0" fontId="0" fillId="4" borderId="2" xfId="0" applyFill="1" applyBorder="1"/>
    <xf numFmtId="1" fontId="0" fillId="0" borderId="20" xfId="0" applyNumberFormat="1" applyBorder="1" applyAlignment="1">
      <alignment horizontal="left" vertical="top"/>
    </xf>
    <xf numFmtId="0" fontId="0" fillId="4" borderId="5" xfId="0" applyFill="1" applyBorder="1"/>
    <xf numFmtId="0" fontId="0" fillId="0" borderId="6" xfId="0" applyBorder="1"/>
    <xf numFmtId="0" fontId="9" fillId="8" borderId="21" xfId="0" applyFont="1" applyFill="1" applyBorder="1" applyAlignment="1">
      <alignment vertical="center" wrapText="1"/>
    </xf>
    <xf numFmtId="0" fontId="10" fillId="8" borderId="21" xfId="0" applyFont="1" applyFill="1" applyBorder="1" applyAlignment="1">
      <alignment vertical="center" wrapText="1"/>
    </xf>
    <xf numFmtId="0" fontId="14" fillId="8" borderId="21" xfId="1" applyFill="1" applyBorder="1" applyAlignment="1">
      <alignment horizontal="right" vertical="center" wrapText="1"/>
    </xf>
    <xf numFmtId="0" fontId="11" fillId="8" borderId="21" xfId="0" applyFont="1" applyFill="1" applyBorder="1" applyAlignment="1">
      <alignment horizontal="right" vertical="center" wrapText="1"/>
    </xf>
    <xf numFmtId="0" fontId="12" fillId="8" borderId="21" xfId="0" applyFont="1" applyFill="1" applyBorder="1" applyAlignment="1">
      <alignment horizontal="right" vertical="center" wrapText="1"/>
    </xf>
    <xf numFmtId="0" fontId="13" fillId="9" borderId="21" xfId="0" applyFont="1" applyFill="1" applyBorder="1" applyAlignment="1">
      <alignment vertical="center" wrapText="1"/>
    </xf>
    <xf numFmtId="0" fontId="9" fillId="8" borderId="21" xfId="0" applyFont="1" applyFill="1" applyBorder="1" applyAlignment="1">
      <alignment horizontal="right" vertical="center" wrapText="1"/>
    </xf>
    <xf numFmtId="0" fontId="9" fillId="3" borderId="21" xfId="0" applyFont="1" applyFill="1" applyBorder="1" applyAlignment="1">
      <alignment vertical="center" wrapText="1"/>
    </xf>
    <xf numFmtId="0" fontId="9" fillId="10" borderId="21" xfId="0" applyFont="1" applyFill="1" applyBorder="1" applyAlignment="1">
      <alignment vertical="center" wrapText="1"/>
    </xf>
    <xf numFmtId="0" fontId="9" fillId="11" borderId="21" xfId="0" applyFont="1" applyFill="1" applyBorder="1" applyAlignment="1">
      <alignment vertical="center" wrapText="1"/>
    </xf>
    <xf numFmtId="0" fontId="9" fillId="2" borderId="21" xfId="0" applyFont="1" applyFill="1" applyBorder="1" applyAlignment="1">
      <alignment vertical="center" wrapText="1"/>
    </xf>
    <xf numFmtId="0" fontId="9" fillId="12" borderId="21" xfId="0" applyFont="1" applyFill="1" applyBorder="1" applyAlignment="1">
      <alignment vertical="center" wrapText="1"/>
    </xf>
    <xf numFmtId="0" fontId="9" fillId="13" borderId="21" xfId="0" applyFont="1" applyFill="1" applyBorder="1" applyAlignment="1">
      <alignment vertical="center" wrapText="1"/>
    </xf>
    <xf numFmtId="0" fontId="9" fillId="14" borderId="21" xfId="0" applyFont="1" applyFill="1" applyBorder="1" applyAlignment="1">
      <alignment vertical="center" wrapText="1"/>
    </xf>
    <xf numFmtId="0" fontId="9" fillId="15" borderId="21" xfId="0" applyFont="1" applyFill="1" applyBorder="1" applyAlignment="1">
      <alignment vertical="center" wrapText="1"/>
    </xf>
    <xf numFmtId="0" fontId="9" fillId="16" borderId="21" xfId="0" applyFont="1" applyFill="1" applyBorder="1" applyAlignment="1">
      <alignment vertical="center" wrapText="1"/>
    </xf>
    <xf numFmtId="0" fontId="9" fillId="17" borderId="21" xfId="0" applyFont="1" applyFill="1" applyBorder="1" applyAlignment="1">
      <alignment vertical="center" wrapText="1"/>
    </xf>
    <xf numFmtId="0" fontId="9" fillId="18" borderId="21" xfId="0" applyFont="1" applyFill="1" applyBorder="1" applyAlignment="1">
      <alignment vertical="center" wrapText="1"/>
    </xf>
    <xf numFmtId="0" fontId="9" fillId="19" borderId="21" xfId="0" applyFont="1" applyFill="1" applyBorder="1" applyAlignment="1">
      <alignment vertical="center" wrapText="1"/>
    </xf>
    <xf numFmtId="0" fontId="9" fillId="20" borderId="21" xfId="0" applyFont="1" applyFill="1" applyBorder="1" applyAlignment="1">
      <alignment vertical="center" wrapText="1"/>
    </xf>
    <xf numFmtId="0" fontId="9" fillId="21" borderId="21" xfId="0" applyFont="1" applyFill="1" applyBorder="1" applyAlignment="1">
      <alignment vertical="center" wrapText="1"/>
    </xf>
    <xf numFmtId="0" fontId="9" fillId="22" borderId="21" xfId="0" applyFont="1" applyFill="1" applyBorder="1" applyAlignment="1">
      <alignment vertical="center" wrapText="1"/>
    </xf>
    <xf numFmtId="0" fontId="9" fillId="23" borderId="21" xfId="0" applyFont="1" applyFill="1" applyBorder="1" applyAlignment="1">
      <alignment vertical="center" wrapText="1"/>
    </xf>
    <xf numFmtId="0" fontId="9" fillId="24" borderId="21" xfId="0" applyFont="1" applyFill="1" applyBorder="1" applyAlignment="1">
      <alignment vertical="center" wrapText="1"/>
    </xf>
    <xf numFmtId="0" fontId="9" fillId="25" borderId="21" xfId="0" applyFont="1" applyFill="1" applyBorder="1" applyAlignment="1">
      <alignment vertical="center" wrapText="1"/>
    </xf>
    <xf numFmtId="0" fontId="9" fillId="26" borderId="21" xfId="0" applyFont="1" applyFill="1" applyBorder="1" applyAlignment="1">
      <alignment vertical="center" wrapText="1"/>
    </xf>
    <xf numFmtId="0" fontId="9" fillId="27" borderId="21" xfId="0" applyFont="1" applyFill="1" applyBorder="1" applyAlignment="1">
      <alignment vertical="center" wrapText="1"/>
    </xf>
    <xf numFmtId="0" fontId="9" fillId="28" borderId="21" xfId="0" applyFont="1" applyFill="1" applyBorder="1" applyAlignment="1">
      <alignment vertical="center" wrapText="1"/>
    </xf>
    <xf numFmtId="0" fontId="9" fillId="29" borderId="21" xfId="0" applyFont="1" applyFill="1" applyBorder="1" applyAlignment="1">
      <alignment vertical="center" wrapText="1"/>
    </xf>
    <xf numFmtId="0" fontId="9" fillId="30" borderId="21" xfId="0" applyFont="1" applyFill="1" applyBorder="1" applyAlignment="1">
      <alignment vertical="center" wrapText="1"/>
    </xf>
    <xf numFmtId="0" fontId="9" fillId="31" borderId="21" xfId="0" applyFont="1" applyFill="1" applyBorder="1" applyAlignment="1">
      <alignment vertical="center" wrapText="1"/>
    </xf>
    <xf numFmtId="0" fontId="9" fillId="32" borderId="21" xfId="0" applyFont="1" applyFill="1" applyBorder="1" applyAlignment="1">
      <alignment vertical="center" wrapText="1"/>
    </xf>
    <xf numFmtId="0" fontId="9" fillId="33" borderId="21" xfId="0" applyFont="1" applyFill="1" applyBorder="1" applyAlignment="1">
      <alignment vertical="center" wrapText="1"/>
    </xf>
    <xf numFmtId="0" fontId="9" fillId="34" borderId="21" xfId="0" applyFont="1" applyFill="1" applyBorder="1" applyAlignment="1">
      <alignment vertical="center" wrapText="1"/>
    </xf>
    <xf numFmtId="0" fontId="9" fillId="35" borderId="21" xfId="0" applyFont="1" applyFill="1" applyBorder="1" applyAlignment="1">
      <alignment vertical="center" wrapText="1"/>
    </xf>
    <xf numFmtId="0" fontId="9" fillId="36" borderId="21" xfId="0" applyFont="1" applyFill="1" applyBorder="1" applyAlignment="1">
      <alignment vertical="center" wrapText="1"/>
    </xf>
    <xf numFmtId="0" fontId="9" fillId="37" borderId="21" xfId="0" applyFont="1" applyFill="1" applyBorder="1" applyAlignment="1">
      <alignment vertical="center" wrapText="1"/>
    </xf>
    <xf numFmtId="0" fontId="9" fillId="38" borderId="21" xfId="0" applyFont="1" applyFill="1" applyBorder="1" applyAlignment="1">
      <alignment vertical="center" wrapText="1"/>
    </xf>
    <xf numFmtId="0" fontId="9" fillId="39" borderId="21" xfId="0" applyFont="1" applyFill="1" applyBorder="1" applyAlignment="1">
      <alignment vertical="center" wrapText="1"/>
    </xf>
    <xf numFmtId="0" fontId="9" fillId="40" borderId="21" xfId="0" applyFont="1" applyFill="1" applyBorder="1" applyAlignment="1">
      <alignment vertical="center" wrapText="1"/>
    </xf>
    <xf numFmtId="0" fontId="9" fillId="41" borderId="21" xfId="0" applyFont="1" applyFill="1" applyBorder="1" applyAlignment="1">
      <alignment vertical="center" wrapText="1"/>
    </xf>
    <xf numFmtId="0" fontId="9" fillId="42" borderId="21" xfId="0" applyFont="1" applyFill="1" applyBorder="1" applyAlignment="1">
      <alignment vertical="center" wrapText="1"/>
    </xf>
    <xf numFmtId="0" fontId="9" fillId="43" borderId="21" xfId="0" applyFont="1" applyFill="1" applyBorder="1" applyAlignment="1">
      <alignment vertical="center" wrapText="1"/>
    </xf>
    <xf numFmtId="0" fontId="9" fillId="44" borderId="21" xfId="0" applyFont="1" applyFill="1" applyBorder="1" applyAlignment="1">
      <alignment vertical="center" wrapText="1"/>
    </xf>
    <xf numFmtId="0" fontId="9" fillId="45" borderId="21" xfId="0" applyFont="1" applyFill="1" applyBorder="1" applyAlignment="1">
      <alignment vertical="center" wrapText="1"/>
    </xf>
    <xf numFmtId="0" fontId="9" fillId="46" borderId="21" xfId="0" applyFont="1" applyFill="1" applyBorder="1" applyAlignment="1">
      <alignment vertical="center" wrapText="1"/>
    </xf>
    <xf numFmtId="0" fontId="9" fillId="47" borderId="21" xfId="0" applyFont="1" applyFill="1" applyBorder="1" applyAlignment="1">
      <alignment vertical="center" wrapText="1"/>
    </xf>
    <xf numFmtId="0" fontId="9" fillId="48" borderId="21" xfId="0" applyFont="1" applyFill="1" applyBorder="1" applyAlignment="1">
      <alignment vertical="center" wrapText="1"/>
    </xf>
    <xf numFmtId="0" fontId="9" fillId="49" borderId="21" xfId="0" applyFont="1" applyFill="1" applyBorder="1" applyAlignment="1">
      <alignment vertical="center" wrapText="1"/>
    </xf>
    <xf numFmtId="0" fontId="9" fillId="50" borderId="21" xfId="0" applyFont="1" applyFill="1" applyBorder="1" applyAlignment="1">
      <alignment vertical="center" wrapText="1"/>
    </xf>
    <xf numFmtId="0" fontId="9" fillId="51" borderId="21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top"/>
    </xf>
    <xf numFmtId="0" fontId="0" fillId="0" borderId="0" xfId="0" applyNumberFormat="1"/>
    <xf numFmtId="0" fontId="7" fillId="0" borderId="0" xfId="0" applyFont="1"/>
    <xf numFmtId="0" fontId="7" fillId="2" borderId="0" xfId="0" applyFont="1" applyFill="1"/>
    <xf numFmtId="0" fontId="6" fillId="0" borderId="0" xfId="0" applyFont="1"/>
    <xf numFmtId="0" fontId="7" fillId="0" borderId="0" xfId="0" applyFont="1" applyAlignment="1">
      <alignment vertical="top"/>
    </xf>
    <xf numFmtId="0" fontId="15" fillId="7" borderId="18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top"/>
    </xf>
    <xf numFmtId="0" fontId="0" fillId="2" borderId="22" xfId="0" applyFill="1" applyBorder="1" applyAlignment="1">
      <alignment horizontal="center" vertical="top"/>
    </xf>
    <xf numFmtId="0" fontId="4" fillId="0" borderId="0" xfId="0" applyFont="1" applyFill="1" applyAlignment="1">
      <alignment vertical="top"/>
    </xf>
    <xf numFmtId="1" fontId="4" fillId="3" borderId="0" xfId="0" applyNumberFormat="1" applyFont="1" applyFill="1" applyAlignment="1">
      <alignment horizontal="center" vertical="top"/>
    </xf>
    <xf numFmtId="0" fontId="14" fillId="0" borderId="0" xfId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wrapText="1"/>
    </xf>
    <xf numFmtId="1" fontId="0" fillId="4" borderId="5" xfId="0" applyNumberFormat="1" applyFill="1" applyBorder="1" applyAlignment="1">
      <alignment horizontal="center" vertical="top" wrapText="1"/>
    </xf>
    <xf numFmtId="1" fontId="0" fillId="4" borderId="4" xfId="0" applyNumberFormat="1" applyFill="1" applyBorder="1" applyAlignment="1">
      <alignment horizontal="center" vertical="top" wrapText="1"/>
    </xf>
    <xf numFmtId="0" fontId="0" fillId="4" borderId="0" xfId="0" applyNumberFormat="1" applyFill="1" applyAlignment="1">
      <alignment horizontal="right" indent="11"/>
    </xf>
    <xf numFmtId="49" fontId="0" fillId="4" borderId="0" xfId="0" applyNumberFormat="1" applyFill="1" applyAlignment="1">
      <alignment horizontal="right" indent="11"/>
    </xf>
    <xf numFmtId="0" fontId="0" fillId="0" borderId="0" xfId="0" applyFill="1" applyAlignment="1">
      <alignment horizontal="right" indent="11"/>
    </xf>
    <xf numFmtId="0" fontId="0" fillId="4" borderId="0" xfId="0" applyNumberFormat="1" applyFill="1" applyAlignment="1">
      <alignment horizontal="right" vertical="top" indent="11"/>
    </xf>
    <xf numFmtId="0" fontId="0" fillId="4" borderId="0" xfId="0" applyFill="1" applyAlignment="1">
      <alignment horizontal="right" indent="11"/>
    </xf>
    <xf numFmtId="165" fontId="0" fillId="0" borderId="0" xfId="0" applyNumberFormat="1" applyAlignment="1">
      <alignment vertical="top" wrapText="1"/>
    </xf>
    <xf numFmtId="164" fontId="0" fillId="0" borderId="0" xfId="0" applyNumberFormat="1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5" borderId="4" xfId="0" applyFont="1" applyFill="1" applyBorder="1" applyAlignment="1">
      <alignment vertical="top" wrapText="1"/>
    </xf>
    <xf numFmtId="0" fontId="1" fillId="5" borderId="6" xfId="0" applyFont="1" applyFill="1" applyBorder="1" applyAlignment="1">
      <alignment vertical="top" wrapText="1"/>
    </xf>
    <xf numFmtId="0" fontId="0" fillId="0" borderId="18" xfId="0" applyBorder="1" applyAlignment="1">
      <alignment vertical="center"/>
    </xf>
    <xf numFmtId="0" fontId="1" fillId="52" borderId="1" xfId="0" applyFont="1" applyFill="1" applyBorder="1" applyAlignment="1">
      <alignment vertical="top"/>
    </xf>
    <xf numFmtId="1" fontId="0" fillId="52" borderId="2" xfId="0" applyNumberFormat="1" applyFill="1" applyBorder="1" applyAlignment="1">
      <alignment horizontal="center" vertical="top"/>
    </xf>
    <xf numFmtId="1" fontId="0" fillId="52" borderId="3" xfId="0" applyNumberFormat="1" applyFill="1" applyBorder="1" applyAlignment="1">
      <alignment horizontal="center" vertical="top"/>
    </xf>
    <xf numFmtId="0" fontId="0" fillId="52" borderId="19" xfId="0" applyFill="1" applyBorder="1" applyAlignment="1">
      <alignment vertical="top"/>
    </xf>
    <xf numFmtId="165" fontId="0" fillId="52" borderId="20" xfId="0" applyNumberFormat="1" applyFill="1" applyBorder="1" applyAlignment="1">
      <alignment horizontal="center" vertical="top"/>
    </xf>
    <xf numFmtId="1" fontId="0" fillId="52" borderId="20" xfId="0" applyNumberFormat="1" applyFill="1" applyBorder="1" applyAlignment="1">
      <alignment horizontal="center" vertical="top"/>
    </xf>
    <xf numFmtId="164" fontId="0" fillId="52" borderId="20" xfId="0" applyNumberFormat="1" applyFill="1" applyBorder="1" applyAlignment="1">
      <alignment horizontal="center" vertical="top"/>
    </xf>
    <xf numFmtId="165" fontId="0" fillId="52" borderId="20" xfId="0" applyNumberFormat="1" applyFill="1" applyBorder="1" applyAlignment="1">
      <alignment horizontal="left" vertical="top" indent="1"/>
    </xf>
    <xf numFmtId="1" fontId="0" fillId="52" borderId="6" xfId="0" applyNumberFormat="1" applyFill="1" applyBorder="1" applyAlignment="1">
      <alignment horizontal="center" vertical="top"/>
    </xf>
    <xf numFmtId="166" fontId="1" fillId="4" borderId="4" xfId="0" applyNumberFormat="1" applyFont="1" applyFill="1" applyBorder="1" applyAlignment="1">
      <alignment vertical="center"/>
    </xf>
    <xf numFmtId="1" fontId="0" fillId="52" borderId="0" xfId="0" applyNumberFormat="1" applyFill="1" applyBorder="1" applyAlignment="1">
      <alignment horizontal="left" vertical="top"/>
    </xf>
    <xf numFmtId="2" fontId="0" fillId="52" borderId="0" xfId="0" applyNumberFormat="1" applyFill="1" applyBorder="1" applyAlignment="1">
      <alignment horizontal="left" vertical="top"/>
    </xf>
    <xf numFmtId="1" fontId="0" fillId="52" borderId="5" xfId="0" applyNumberFormat="1" applyFill="1" applyBorder="1" applyAlignment="1">
      <alignment horizontal="left" vertical="top"/>
    </xf>
    <xf numFmtId="1" fontId="0" fillId="52" borderId="0" xfId="0" applyNumberFormat="1" applyFill="1" applyBorder="1" applyAlignment="1">
      <alignment horizontal="right" vertical="top"/>
    </xf>
    <xf numFmtId="17" fontId="0" fillId="0" borderId="0" xfId="0" applyNumberFormat="1" applyAlignment="1">
      <alignment vertical="top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8" fillId="0" borderId="8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5" fillId="4" borderId="15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 vertical="center" textRotation="90"/>
    </xf>
    <xf numFmtId="0" fontId="5" fillId="4" borderId="17" xfId="0" applyFont="1" applyFill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5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2">
    <cellStyle name="Link" xfId="1" builtinId="8"/>
    <cellStyle name="Standard" xfId="0" builtinId="0"/>
  </cellStyles>
  <dxfs count="3"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parser!$D$33" lockText="1" noThreeD="1"/>
</file>

<file path=xl/ctrlProps/ctrlProp3.xml><?xml version="1.0" encoding="utf-8"?>
<formControlPr xmlns="http://schemas.microsoft.com/office/spreadsheetml/2009/9/main" objectType="CheckBox" fmlaLink="parser!$D$34" lockText="1" noThreeD="1"/>
</file>

<file path=xl/ctrlProps/ctrlProp4.xml><?xml version="1.0" encoding="utf-8"?>
<formControlPr xmlns="http://schemas.microsoft.com/office/spreadsheetml/2009/9/main" objectType="CheckBox" fmlaLink="parser!$D$35" lockText="1" noThreeD="1"/>
</file>

<file path=xl/ctrlProps/ctrlProp5.xml><?xml version="1.0" encoding="utf-8"?>
<formControlPr xmlns="http://schemas.microsoft.com/office/spreadsheetml/2009/9/main" objectType="CheckBox" fmlaLink="parser!$D$36" lockText="1" noThreeD="1"/>
</file>

<file path=xl/ctrlProps/ctrlProp6.xml><?xml version="1.0" encoding="utf-8"?>
<formControlPr xmlns="http://schemas.microsoft.com/office/spreadsheetml/2009/9/main" objectType="CheckBox" fmlaLink="parser!$D$37" lockText="1" noThreeD="1"/>
</file>

<file path=xl/ctrlProps/ctrlProp7.xml><?xml version="1.0" encoding="utf-8"?>
<formControlPr xmlns="http://schemas.microsoft.com/office/spreadsheetml/2009/9/main" objectType="CheckBox" fmlaLink="parser!$D$38" lockText="1" noThreeD="1"/>
</file>

<file path=xl/ctrlProps/ctrlProp8.xml><?xml version="1.0" encoding="utf-8"?>
<formControlPr xmlns="http://schemas.microsoft.com/office/spreadsheetml/2009/9/main" objectType="CheckBox" checked="Checked" fmlaLink="parser!$D$33" lockText="1" noThreeD="1"/>
</file>

<file path=xl/ctrlProps/ctrlProp9.xml><?xml version="1.0" encoding="utf-8"?>
<formControlPr xmlns="http://schemas.microsoft.com/office/spreadsheetml/2009/9/main" objectType="CheckBox" fmlaLink="parser!$D$34" lockText="1" noThreeD="1"/>
</file>

<file path=xl/ctrlProps/ctrlProp10.xml><?xml version="1.0" encoding="utf-8"?>
<formControlPr xmlns="http://schemas.microsoft.com/office/spreadsheetml/2009/9/main" objectType="CheckBox" fmlaLink="parser!$D$35" lockText="1" noThreeD="1"/>
</file>

<file path=xl/ctrlProps/ctrlProp11.xml><?xml version="1.0" encoding="utf-8"?>
<formControlPr xmlns="http://schemas.microsoft.com/office/spreadsheetml/2009/9/main" objectType="CheckBox" fmlaLink="parser!$D$36" lockText="1" noThreeD="1"/>
</file>

<file path=xl/ctrlProps/ctrlProp12.xml><?xml version="1.0" encoding="utf-8"?>
<formControlPr xmlns="http://schemas.microsoft.com/office/spreadsheetml/2009/9/main" objectType="CheckBox" fmlaLink="parser!$D$37" lockText="1" noThreeD="1"/>
</file>

<file path=xl/ctrlProps/ctrlProp13.xml><?xml version="1.0" encoding="utf-8"?>
<formControlPr xmlns="http://schemas.microsoft.com/office/spreadsheetml/2009/9/main" objectType="CheckBox" fmlaLink="parser!$D$3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28575</xdr:rowOff>
        </xdr:from>
        <xdr:to>
          <xdr:col>5</xdr:col>
          <xdr:colOff>1047750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material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2</xdr:row>
          <xdr:rowOff>133350</xdr:rowOff>
        </xdr:from>
        <xdr:to>
          <xdr:col>6</xdr:col>
          <xdr:colOff>1781175</xdr:colOff>
          <xdr:row>4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3</xdr:row>
          <xdr:rowOff>133350</xdr:rowOff>
        </xdr:from>
        <xdr:to>
          <xdr:col>6</xdr:col>
          <xdr:colOff>1781175</xdr:colOff>
          <xdr:row>5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4</xdr:row>
          <xdr:rowOff>133350</xdr:rowOff>
        </xdr:from>
        <xdr:to>
          <xdr:col>6</xdr:col>
          <xdr:colOff>1781175</xdr:colOff>
          <xdr:row>6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5</xdr:row>
          <xdr:rowOff>133350</xdr:rowOff>
        </xdr:from>
        <xdr:to>
          <xdr:col>6</xdr:col>
          <xdr:colOff>1781175</xdr:colOff>
          <xdr:row>7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6</xdr:row>
          <xdr:rowOff>133350</xdr:rowOff>
        </xdr:from>
        <xdr:to>
          <xdr:col>6</xdr:col>
          <xdr:colOff>1781175</xdr:colOff>
          <xdr:row>8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7</xdr:row>
          <xdr:rowOff>133350</xdr:rowOff>
        </xdr:from>
        <xdr:to>
          <xdr:col>6</xdr:col>
          <xdr:colOff>1781175</xdr:colOff>
          <xdr:row>9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31</xdr:row>
          <xdr:rowOff>161925</xdr:rowOff>
        </xdr:from>
        <xdr:to>
          <xdr:col>2</xdr:col>
          <xdr:colOff>2295525</xdr:colOff>
          <xdr:row>33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32</xdr:row>
          <xdr:rowOff>161925</xdr:rowOff>
        </xdr:from>
        <xdr:to>
          <xdr:col>2</xdr:col>
          <xdr:colOff>2295525</xdr:colOff>
          <xdr:row>34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33</xdr:row>
          <xdr:rowOff>161925</xdr:rowOff>
        </xdr:from>
        <xdr:to>
          <xdr:col>2</xdr:col>
          <xdr:colOff>2295525</xdr:colOff>
          <xdr:row>35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34</xdr:row>
          <xdr:rowOff>161925</xdr:rowOff>
        </xdr:from>
        <xdr:to>
          <xdr:col>2</xdr:col>
          <xdr:colOff>2295525</xdr:colOff>
          <xdr:row>36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35</xdr:row>
          <xdr:rowOff>161925</xdr:rowOff>
        </xdr:from>
        <xdr:to>
          <xdr:col>2</xdr:col>
          <xdr:colOff>2295525</xdr:colOff>
          <xdr:row>37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36</xdr:row>
          <xdr:rowOff>161925</xdr:rowOff>
        </xdr:from>
        <xdr:to>
          <xdr:col>2</xdr:col>
          <xdr:colOff>2295525</xdr:colOff>
          <xdr:row>38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dmcritchie.mvps.org/excel/color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190"/>
  <sheetViews>
    <sheetView zoomScale="90" zoomScaleNormal="90" workbookViewId="0">
      <pane xSplit="7" ySplit="27" topLeftCell="Q28" activePane="bottomRight" state="frozen"/>
      <selection pane="topRight" activeCell="H1" sqref="H1"/>
      <selection pane="bottomLeft" activeCell="A28" sqref="A28"/>
      <selection pane="bottomRight" activeCell="X18" sqref="X18"/>
    </sheetView>
  </sheetViews>
  <sheetFormatPr baseColWidth="10" defaultColWidth="9.140625" defaultRowHeight="15" outlineLevelCol="1" x14ac:dyDescent="0.25"/>
  <cols>
    <col min="1" max="1" width="1.5703125" style="100" customWidth="1"/>
    <col min="2" max="2" width="5.140625" style="3" customWidth="1"/>
    <col min="3" max="3" width="10.85546875" style="3" customWidth="1"/>
    <col min="4" max="4" width="13.7109375" style="3" customWidth="1"/>
    <col min="5" max="5" width="19.5703125" style="3" customWidth="1"/>
    <col min="6" max="6" width="16.28515625" style="3" customWidth="1"/>
    <col min="7" max="7" width="29.7109375" style="3" customWidth="1"/>
    <col min="8" max="8" width="14.140625" style="3" customWidth="1" outlineLevel="1"/>
    <col min="9" max="9" width="13.28515625" style="3" customWidth="1" outlineLevel="1"/>
    <col min="10" max="10" width="14.5703125" style="3" customWidth="1" outlineLevel="1"/>
    <col min="11" max="11" width="17.28515625" style="3" customWidth="1" outlineLevel="1"/>
    <col min="12" max="12" width="15" style="3" customWidth="1" outlineLevel="1"/>
    <col min="13" max="13" width="30.7109375" style="3" customWidth="1"/>
    <col min="14" max="14" width="38.42578125" style="3" customWidth="1"/>
    <col min="15" max="15" width="26.42578125" style="21" bestFit="1" customWidth="1"/>
    <col min="16" max="16" width="25.42578125" style="21" bestFit="1" customWidth="1"/>
    <col min="17" max="17" width="22.5703125" style="4" bestFit="1" customWidth="1"/>
    <col min="18" max="18" width="18.28515625" style="4" customWidth="1"/>
    <col min="19" max="19" width="18.85546875" style="4" customWidth="1"/>
    <col min="20" max="20" width="16.28515625" style="4" bestFit="1" customWidth="1"/>
    <col min="21" max="21" width="17.7109375" style="4" bestFit="1" customWidth="1"/>
    <col min="22" max="22" width="22.28515625" style="4" bestFit="1" customWidth="1"/>
    <col min="23" max="23" width="17.85546875" style="4" customWidth="1"/>
    <col min="24" max="24" width="16.28515625" style="4" bestFit="1" customWidth="1"/>
    <col min="25" max="25" width="17.7109375" style="4" bestFit="1" customWidth="1"/>
    <col min="26" max="26" width="17.7109375" style="4" customWidth="1"/>
  </cols>
  <sheetData>
    <row r="1" spans="3:17" ht="15.75" thickBot="1" x14ac:dyDescent="0.3">
      <c r="C1" s="3" t="s">
        <v>178</v>
      </c>
    </row>
    <row r="2" spans="3:17" ht="36.75" customHeight="1" x14ac:dyDescent="0.25">
      <c r="C2" s="142" t="s">
        <v>271</v>
      </c>
      <c r="D2" s="143"/>
      <c r="E2" s="143"/>
      <c r="F2" s="17"/>
      <c r="H2" s="3" t="s">
        <v>67</v>
      </c>
    </row>
    <row r="3" spans="3:17" ht="12.75" customHeight="1" x14ac:dyDescent="0.25">
      <c r="C3" s="151" t="s">
        <v>63</v>
      </c>
      <c r="D3" s="147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"&amp;parser!F30&amp;"
"&amp;parser!F31&amp;IF(parser!D33=TRUE,parser!F32&amp;parser!D39,)&amp;IF(parser!D34=TRUE,parser!F39&amp;parser!D39,)&amp;IF(parser!D35=TRUE,parser!F48&amp;parser!D39,)&amp;IF(parser!D36=TRUE,parser!F57&amp;parser!D39,)&amp;IF(parser!D37=TRUE,parser!F67&amp;parser!D39,)&amp;IF(parser!D38=TRUE,parser!F76&amp;parser!D39,)&amp;parser!F86</f>
        <v>&lt;?xml version='1.0' encoding='cp1252'?&gt;
&lt;fdmmaterial xmlns="http://www.ultimaker.com/material"&gt;
  &lt;metadata&gt;
    &lt;name&gt;
            &lt;brand&gt;NinjaTek&lt;/brand&gt;
            &lt;material&gt;Ninjaflex&lt;/material&gt;
            &lt;color&gt;black&lt;/color&gt;
            &lt;label&gt;Ninjaflex black&lt;/label&gt;
    &lt;/name&gt;
    &lt;color_code&gt;#2d2d2d&lt;/color_code&gt;
    &lt;description&gt;Top/bottom speed 15mm/s&lt;/description&gt;
    &lt;GUID&gt;SelfMat_16_Nin_Nin_#2d2d2d&lt;/GUID&gt;
    &lt;version&gt;1&lt;/version&gt;
    &lt;adhesion_info&gt;print speed: 25 / layer height: 0.1 / retraction: false&lt;/adhesion_info&gt;
  &lt;/metadata&gt;
  &lt;properties&gt;
            &lt;density&gt;1.240&lt;/density&gt;
            &lt;diameter&gt;2.85&lt;/diameter&gt;
  &lt;/properties&gt;
  &lt;settings&gt;
            &lt;setting key="heated bed temperature"&gt;45&lt;/setting&gt;
            &lt;setting key="print cooling"&gt;80&lt;/setting&gt;
            &lt;setting key="standby temperature"&gt;170&lt;/setting&gt;
            &lt;setting key="print temperature"&gt;225&lt;/setting&gt;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  <c r="E3" s="147"/>
      <c r="F3" s="148"/>
      <c r="G3" s="29" t="s">
        <v>91</v>
      </c>
    </row>
    <row r="4" spans="3:17" ht="12.75" customHeight="1" x14ac:dyDescent="0.25">
      <c r="C4" s="152"/>
      <c r="D4" s="147"/>
      <c r="E4" s="147"/>
      <c r="F4" s="148"/>
      <c r="G4" s="30" t="s">
        <v>85</v>
      </c>
      <c r="N4" s="3" t="str">
        <f>parser!F7</f>
        <v xml:space="preserve">            &lt;brand&gt;NinjaTek&lt;/brand&gt;</v>
      </c>
    </row>
    <row r="5" spans="3:17" ht="12.75" customHeight="1" x14ac:dyDescent="0.25">
      <c r="C5" s="152"/>
      <c r="D5" s="147"/>
      <c r="E5" s="147"/>
      <c r="F5" s="148"/>
      <c r="G5" s="30" t="s">
        <v>86</v>
      </c>
      <c r="N5" s="3" t="str">
        <f>parser!F8</f>
        <v xml:space="preserve">            &lt;material&gt;Ninjaflex&lt;/material&gt;</v>
      </c>
    </row>
    <row r="6" spans="3:17" ht="12.75" customHeight="1" x14ac:dyDescent="0.25">
      <c r="C6" s="152"/>
      <c r="D6" s="147"/>
      <c r="E6" s="147"/>
      <c r="F6" s="148"/>
      <c r="G6" s="30" t="s">
        <v>88</v>
      </c>
      <c r="N6" s="3" t="str">
        <f>parser!F9</f>
        <v xml:space="preserve">            &lt;color&gt;black&lt;/color&gt;</v>
      </c>
    </row>
    <row r="7" spans="3:17" ht="12.75" customHeight="1" x14ac:dyDescent="0.25">
      <c r="C7" s="152"/>
      <c r="D7" s="147"/>
      <c r="E7" s="147"/>
      <c r="F7" s="148"/>
      <c r="G7" s="30" t="s">
        <v>87</v>
      </c>
      <c r="N7" s="3" t="str">
        <f>parser!F10</f>
        <v xml:space="preserve">            &lt;label&gt;Ninjaflex black&lt;/label&gt;</v>
      </c>
    </row>
    <row r="8" spans="3:17" ht="12.75" customHeight="1" x14ac:dyDescent="0.25">
      <c r="C8" s="152"/>
      <c r="D8" s="147"/>
      <c r="E8" s="147"/>
      <c r="F8" s="148"/>
      <c r="G8" s="30" t="s">
        <v>89</v>
      </c>
      <c r="O8" s="121"/>
      <c r="P8" s="120"/>
      <c r="Q8" s="13"/>
    </row>
    <row r="9" spans="3:17" ht="12.75" customHeight="1" thickBot="1" x14ac:dyDescent="0.3">
      <c r="C9" s="152"/>
      <c r="D9" s="147"/>
      <c r="E9" s="147"/>
      <c r="F9" s="148"/>
      <c r="G9" s="30" t="s">
        <v>90</v>
      </c>
    </row>
    <row r="10" spans="3:17" ht="12.75" customHeight="1" x14ac:dyDescent="0.25">
      <c r="C10" s="152"/>
      <c r="D10" s="147"/>
      <c r="E10" s="147"/>
      <c r="F10" s="148"/>
      <c r="N10" s="127" t="s">
        <v>245</v>
      </c>
      <c r="O10" s="128"/>
      <c r="P10" s="129"/>
    </row>
    <row r="11" spans="3:17" ht="12.75" customHeight="1" x14ac:dyDescent="0.25">
      <c r="C11" s="152"/>
      <c r="D11" s="147"/>
      <c r="E11" s="147"/>
      <c r="F11" s="148"/>
      <c r="N11" s="130">
        <v>0.28499999999999998</v>
      </c>
      <c r="O11" s="137" t="s">
        <v>235</v>
      </c>
      <c r="P11" s="131" t="s">
        <v>248</v>
      </c>
    </row>
    <row r="12" spans="3:17" ht="12.75" customHeight="1" x14ac:dyDescent="0.25">
      <c r="C12" s="152"/>
      <c r="D12" s="147"/>
      <c r="E12" s="147"/>
      <c r="F12" s="148"/>
      <c r="G12" s="109"/>
      <c r="N12" s="130">
        <f>(N11/2)^2*PI()</f>
        <v>6.3793965821957732E-2</v>
      </c>
      <c r="O12" s="137" t="s">
        <v>236</v>
      </c>
      <c r="P12" s="132" t="s">
        <v>249</v>
      </c>
    </row>
    <row r="13" spans="3:17" ht="12.75" customHeight="1" x14ac:dyDescent="0.25">
      <c r="C13" s="152"/>
      <c r="D13" s="147"/>
      <c r="E13" s="147"/>
      <c r="F13" s="148"/>
      <c r="G13" s="13"/>
      <c r="H13" s="13"/>
      <c r="N13" s="130">
        <v>1</v>
      </c>
      <c r="O13" s="138" t="s">
        <v>237</v>
      </c>
      <c r="P13" s="132"/>
    </row>
    <row r="14" spans="3:17" ht="12.75" customHeight="1" x14ac:dyDescent="0.25">
      <c r="C14" s="152"/>
      <c r="D14" s="147"/>
      <c r="E14" s="147"/>
      <c r="F14" s="148"/>
      <c r="G14" s="13"/>
      <c r="H14" s="13"/>
      <c r="N14" s="130">
        <f>N12*N13</f>
        <v>6.3793965821957732E-2</v>
      </c>
      <c r="O14" s="137" t="s">
        <v>238</v>
      </c>
      <c r="P14" s="132" t="s">
        <v>250</v>
      </c>
    </row>
    <row r="15" spans="3:17" ht="12.75" customHeight="1" thickBot="1" x14ac:dyDescent="0.3">
      <c r="C15" s="152"/>
      <c r="D15" s="147"/>
      <c r="E15" s="147"/>
      <c r="F15" s="148"/>
      <c r="G15" s="13"/>
      <c r="H15" s="13"/>
      <c r="N15" s="130"/>
      <c r="O15" s="140" t="s">
        <v>251</v>
      </c>
      <c r="P15" s="133">
        <f>1/N14</f>
        <v>15.675463770208221</v>
      </c>
    </row>
    <row r="16" spans="3:17" ht="12.75" customHeight="1" thickBot="1" x14ac:dyDescent="0.3">
      <c r="C16" s="152"/>
      <c r="D16" s="147"/>
      <c r="E16" s="147"/>
      <c r="F16" s="148"/>
      <c r="G16" s="13"/>
      <c r="H16" s="13"/>
      <c r="N16" s="126">
        <v>7.4</v>
      </c>
      <c r="O16" s="137" t="s">
        <v>239</v>
      </c>
      <c r="P16" s="132"/>
    </row>
    <row r="17" spans="1:28" ht="12.75" customHeight="1" x14ac:dyDescent="0.25">
      <c r="C17" s="152"/>
      <c r="D17" s="147"/>
      <c r="E17" s="147"/>
      <c r="F17" s="148"/>
      <c r="G17" s="13"/>
      <c r="H17" s="13"/>
      <c r="N17" s="130">
        <f>N16/100</f>
        <v>7.400000000000001E-2</v>
      </c>
      <c r="O17" s="137" t="s">
        <v>240</v>
      </c>
      <c r="P17" s="134"/>
    </row>
    <row r="18" spans="1:28" ht="12.75" customHeight="1" thickBot="1" x14ac:dyDescent="0.3">
      <c r="C18" s="152"/>
      <c r="D18" s="147"/>
      <c r="E18" s="147"/>
      <c r="F18" s="148"/>
      <c r="G18" s="13"/>
      <c r="H18" s="13"/>
      <c r="N18" s="136">
        <f>N17*P15</f>
        <v>1.1599843189954084</v>
      </c>
      <c r="O18" s="139" t="s">
        <v>244</v>
      </c>
      <c r="P18" s="135" t="s">
        <v>246</v>
      </c>
    </row>
    <row r="19" spans="1:28" ht="12.75" customHeight="1" x14ac:dyDescent="0.25">
      <c r="C19" s="152"/>
      <c r="D19" s="147"/>
      <c r="E19" s="147"/>
      <c r="F19" s="148"/>
      <c r="G19" s="13"/>
      <c r="H19" s="13"/>
    </row>
    <row r="20" spans="1:28" ht="12.75" customHeight="1" x14ac:dyDescent="0.25">
      <c r="C20" s="152"/>
      <c r="D20" s="147"/>
      <c r="E20" s="147"/>
      <c r="F20" s="148"/>
      <c r="G20" s="13"/>
      <c r="H20" s="13"/>
    </row>
    <row r="21" spans="1:28" ht="12.75" customHeight="1" x14ac:dyDescent="0.25">
      <c r="C21" s="152"/>
      <c r="D21" s="147"/>
      <c r="E21" s="147"/>
      <c r="F21" s="148"/>
      <c r="G21" s="13"/>
      <c r="H21" s="13"/>
    </row>
    <row r="22" spans="1:28" ht="12.75" customHeight="1" x14ac:dyDescent="0.25">
      <c r="C22" s="152"/>
      <c r="D22" s="147"/>
      <c r="E22" s="147"/>
      <c r="F22" s="148"/>
      <c r="G22" s="13"/>
      <c r="H22" s="13"/>
    </row>
    <row r="23" spans="1:28" ht="12.75" customHeight="1" thickBot="1" x14ac:dyDescent="0.3">
      <c r="C23" s="153"/>
      <c r="D23" s="149"/>
      <c r="E23" s="149"/>
      <c r="F23" s="150"/>
      <c r="G23" s="13"/>
      <c r="H23" s="13"/>
    </row>
    <row r="24" spans="1:28" x14ac:dyDescent="0.25">
      <c r="F24" s="13"/>
      <c r="G24" s="13"/>
      <c r="H24" s="13"/>
    </row>
    <row r="25" spans="1:28" s="2" customFormat="1" ht="15.75" thickBot="1" x14ac:dyDescent="0.3">
      <c r="A25" s="101">
        <v>1</v>
      </c>
      <c r="B25" s="12">
        <v>2</v>
      </c>
      <c r="C25" s="12">
        <v>3</v>
      </c>
      <c r="D25" s="12">
        <v>4</v>
      </c>
      <c r="E25" s="12">
        <v>5</v>
      </c>
      <c r="F25" s="12">
        <v>6</v>
      </c>
      <c r="G25" s="12">
        <v>7</v>
      </c>
      <c r="H25" s="12">
        <v>8</v>
      </c>
      <c r="I25" s="12">
        <v>9</v>
      </c>
      <c r="J25" s="12">
        <v>10</v>
      </c>
      <c r="K25" s="12">
        <v>11</v>
      </c>
      <c r="L25" s="12">
        <v>12</v>
      </c>
      <c r="M25" s="12">
        <v>13</v>
      </c>
      <c r="N25" s="12">
        <v>14</v>
      </c>
      <c r="O25" s="12">
        <v>15</v>
      </c>
      <c r="P25" s="12">
        <v>16</v>
      </c>
      <c r="Q25" s="12">
        <v>17</v>
      </c>
      <c r="R25" s="12">
        <v>18</v>
      </c>
      <c r="S25" s="12">
        <v>19</v>
      </c>
      <c r="T25" s="12">
        <v>20</v>
      </c>
      <c r="U25" s="12">
        <v>21</v>
      </c>
      <c r="V25" s="12">
        <v>22</v>
      </c>
      <c r="W25" s="12">
        <v>23</v>
      </c>
      <c r="X25" s="12">
        <v>24</v>
      </c>
      <c r="Y25" s="12">
        <v>25</v>
      </c>
      <c r="Z25" s="12">
        <v>26</v>
      </c>
    </row>
    <row r="26" spans="1:28" ht="15.75" thickBot="1" x14ac:dyDescent="0.3">
      <c r="B26" s="103">
        <v>0</v>
      </c>
      <c r="C26" s="144" t="s">
        <v>34</v>
      </c>
      <c r="D26" s="145"/>
      <c r="E26" s="145"/>
      <c r="F26" s="145"/>
      <c r="G26" s="146"/>
      <c r="H26" s="154" t="s">
        <v>33</v>
      </c>
      <c r="I26" s="155"/>
      <c r="J26" s="155"/>
      <c r="K26" s="155"/>
      <c r="L26" s="155"/>
      <c r="M26" s="122"/>
      <c r="N26" s="123"/>
      <c r="O26" s="144" t="s">
        <v>45</v>
      </c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6"/>
    </row>
    <row r="27" spans="1:28" s="1" customFormat="1" ht="42" customHeight="1" thickBot="1" x14ac:dyDescent="0.3">
      <c r="A27" s="102"/>
      <c r="B27" s="98" t="s">
        <v>166</v>
      </c>
      <c r="C27" s="5" t="s">
        <v>196</v>
      </c>
      <c r="D27" s="6" t="s">
        <v>69</v>
      </c>
      <c r="E27" s="6" t="s">
        <v>214</v>
      </c>
      <c r="F27" s="6" t="s">
        <v>1</v>
      </c>
      <c r="G27" s="6"/>
      <c r="H27" s="7" t="s">
        <v>10</v>
      </c>
      <c r="I27" s="8" t="s">
        <v>72</v>
      </c>
      <c r="J27" s="8" t="s">
        <v>73</v>
      </c>
      <c r="K27" s="8" t="s">
        <v>74</v>
      </c>
      <c r="L27" s="8" t="s">
        <v>32</v>
      </c>
      <c r="M27" s="124" t="s">
        <v>233</v>
      </c>
      <c r="N27" s="125" t="s">
        <v>232</v>
      </c>
      <c r="O27" s="114" t="s">
        <v>110</v>
      </c>
      <c r="P27" s="113" t="s">
        <v>210</v>
      </c>
      <c r="Q27" s="113" t="s">
        <v>220</v>
      </c>
      <c r="R27" s="39" t="s">
        <v>211</v>
      </c>
      <c r="S27" s="40" t="s">
        <v>44</v>
      </c>
      <c r="T27" s="39" t="s">
        <v>221</v>
      </c>
      <c r="U27" s="39" t="s">
        <v>223</v>
      </c>
      <c r="V27" s="39" t="s">
        <v>111</v>
      </c>
      <c r="W27" s="31" t="s">
        <v>97</v>
      </c>
      <c r="X27" s="31" t="s">
        <v>98</v>
      </c>
      <c r="Y27" s="31" t="s">
        <v>99</v>
      </c>
      <c r="Z27" s="9" t="s">
        <v>113</v>
      </c>
      <c r="AA27" s="104" t="s">
        <v>263</v>
      </c>
    </row>
    <row r="28" spans="1:28" ht="15.75" customHeight="1" x14ac:dyDescent="0.25">
      <c r="A28" s="100" t="str">
        <f t="shared" ref="A28:A59" si="0">IF(AA28="","",D28&amp;"_"&amp;E28&amp;IF(F28="","","_"&amp;F28))</f>
        <v>Colorfabb_PLA_generic</v>
      </c>
      <c r="B28" s="3">
        <f>B26+1</f>
        <v>1</v>
      </c>
      <c r="C28" s="3" t="s">
        <v>209</v>
      </c>
      <c r="D28" s="3" t="s">
        <v>0</v>
      </c>
      <c r="E28" s="107" t="s">
        <v>2</v>
      </c>
      <c r="F28" s="3" t="s">
        <v>84</v>
      </c>
      <c r="H28" s="3" t="s">
        <v>13</v>
      </c>
      <c r="I28" s="3" t="s">
        <v>12</v>
      </c>
      <c r="J28" s="3" t="s">
        <v>14</v>
      </c>
      <c r="K28" s="3" t="s">
        <v>18</v>
      </c>
      <c r="O28" s="21">
        <v>208</v>
      </c>
      <c r="Q28" s="21">
        <v>55</v>
      </c>
      <c r="R28" s="10"/>
      <c r="S28" s="10"/>
      <c r="T28" s="10"/>
      <c r="U28" s="10"/>
      <c r="V28" s="10" t="s">
        <v>253</v>
      </c>
      <c r="W28" s="18">
        <v>107</v>
      </c>
      <c r="X28" s="18">
        <v>60</v>
      </c>
      <c r="Y28" s="10"/>
      <c r="Z28" s="10"/>
      <c r="AA28" s="105" t="s">
        <v>165</v>
      </c>
      <c r="AB28" s="13"/>
    </row>
    <row r="29" spans="1:28" ht="15" customHeight="1" x14ac:dyDescent="0.25">
      <c r="A29" s="100" t="str">
        <f t="shared" si="0"/>
        <v>Colorfabb_Special PLA_bronzeFill</v>
      </c>
      <c r="B29" s="3">
        <f>B28+1</f>
        <v>2</v>
      </c>
      <c r="C29" s="3" t="s">
        <v>192</v>
      </c>
      <c r="D29" s="3" t="s">
        <v>0</v>
      </c>
      <c r="E29" s="107" t="s">
        <v>215</v>
      </c>
      <c r="F29" s="3" t="s">
        <v>17</v>
      </c>
      <c r="H29" s="3" t="s">
        <v>13</v>
      </c>
      <c r="I29" s="3" t="s">
        <v>12</v>
      </c>
      <c r="J29" s="3" t="s">
        <v>14</v>
      </c>
      <c r="K29" s="3" t="s">
        <v>19</v>
      </c>
      <c r="O29" s="21">
        <v>215</v>
      </c>
      <c r="Q29" s="21">
        <v>60</v>
      </c>
      <c r="R29" s="18"/>
      <c r="S29" s="10"/>
      <c r="T29" s="10"/>
      <c r="U29" s="10"/>
      <c r="V29" s="10" t="s">
        <v>254</v>
      </c>
      <c r="W29" s="18">
        <v>110</v>
      </c>
      <c r="X29" s="18">
        <v>50</v>
      </c>
      <c r="Y29" s="10"/>
      <c r="Z29" s="10"/>
      <c r="AA29" s="105" t="s">
        <v>165</v>
      </c>
      <c r="AB29" s="13"/>
    </row>
    <row r="30" spans="1:28" ht="15" customHeight="1" x14ac:dyDescent="0.25">
      <c r="A30" s="100" t="str">
        <f t="shared" si="0"/>
        <v>Colorfabb_Special PLA_glowFill</v>
      </c>
      <c r="B30" s="3">
        <f>B29+1</f>
        <v>3</v>
      </c>
      <c r="C30" s="3" t="s">
        <v>193</v>
      </c>
      <c r="D30" s="3" t="s">
        <v>0</v>
      </c>
      <c r="E30" s="107" t="s">
        <v>215</v>
      </c>
      <c r="F30" s="3" t="s">
        <v>16</v>
      </c>
      <c r="H30" s="3" t="s">
        <v>13</v>
      </c>
      <c r="I30" s="3" t="s">
        <v>12</v>
      </c>
      <c r="J30" s="3" t="s">
        <v>14</v>
      </c>
      <c r="K30" s="3" t="s">
        <v>18</v>
      </c>
      <c r="O30" s="21">
        <v>208</v>
      </c>
      <c r="Q30" s="21">
        <v>55</v>
      </c>
      <c r="R30" s="10"/>
      <c r="S30" s="10"/>
      <c r="T30" s="10"/>
      <c r="U30" s="10"/>
      <c r="V30" s="10" t="s">
        <v>253</v>
      </c>
      <c r="W30" s="18">
        <v>107</v>
      </c>
      <c r="X30" s="18">
        <v>50</v>
      </c>
      <c r="Y30" s="10"/>
      <c r="Z30" s="10"/>
      <c r="AA30" s="105" t="s">
        <v>165</v>
      </c>
      <c r="AB30" s="13"/>
    </row>
    <row r="31" spans="1:28" ht="15" customHeight="1" x14ac:dyDescent="0.25">
      <c r="A31" s="100" t="str">
        <f t="shared" si="0"/>
        <v>Colorfabb_Special PLA_woodFill</v>
      </c>
      <c r="B31" s="3">
        <f>B30+1</f>
        <v>4</v>
      </c>
      <c r="C31" s="3" t="s">
        <v>194</v>
      </c>
      <c r="D31" s="3" t="s">
        <v>0</v>
      </c>
      <c r="E31" s="107" t="s">
        <v>215</v>
      </c>
      <c r="F31" s="3" t="s">
        <v>15</v>
      </c>
      <c r="H31" s="3" t="s">
        <v>13</v>
      </c>
      <c r="I31" s="3" t="s">
        <v>12</v>
      </c>
      <c r="J31" s="3" t="s">
        <v>14</v>
      </c>
      <c r="O31" s="21">
        <v>205</v>
      </c>
      <c r="Q31" s="21">
        <v>55</v>
      </c>
      <c r="R31" s="10"/>
      <c r="S31" s="10"/>
      <c r="T31" s="10"/>
      <c r="U31" s="10"/>
      <c r="V31" s="10"/>
      <c r="W31" s="18">
        <v>110</v>
      </c>
      <c r="X31" s="18">
        <v>40</v>
      </c>
      <c r="Y31" s="10" t="s">
        <v>36</v>
      </c>
      <c r="Z31" s="10"/>
      <c r="AA31" s="105" t="s">
        <v>165</v>
      </c>
      <c r="AB31" s="13"/>
    </row>
    <row r="32" spans="1:28" x14ac:dyDescent="0.25">
      <c r="A32" s="100" t="str">
        <f t="shared" si="0"/>
        <v>Colorfabb_XT_generic</v>
      </c>
      <c r="B32" s="3">
        <f>B31+1</f>
        <v>5</v>
      </c>
      <c r="C32" s="3" t="s">
        <v>195</v>
      </c>
      <c r="D32" s="3" t="s">
        <v>0</v>
      </c>
      <c r="E32" s="107" t="s">
        <v>6</v>
      </c>
      <c r="F32" s="3" t="s">
        <v>84</v>
      </c>
      <c r="H32" s="3" t="s">
        <v>9</v>
      </c>
      <c r="I32" s="3" t="s">
        <v>11</v>
      </c>
      <c r="J32" s="3" t="s">
        <v>8</v>
      </c>
      <c r="K32" s="3" t="s">
        <v>7</v>
      </c>
      <c r="N32" s="3" t="s">
        <v>177</v>
      </c>
      <c r="O32" s="21">
        <v>245</v>
      </c>
      <c r="Q32" s="21">
        <v>70</v>
      </c>
      <c r="R32" s="18">
        <v>50</v>
      </c>
      <c r="S32" s="10"/>
      <c r="T32" s="10"/>
      <c r="U32" s="10"/>
      <c r="V32" s="10" t="s">
        <v>199</v>
      </c>
      <c r="W32" s="18">
        <v>110</v>
      </c>
      <c r="X32" s="18">
        <v>30</v>
      </c>
      <c r="Y32" s="10"/>
      <c r="Z32" s="10"/>
      <c r="AA32" s="105" t="s">
        <v>165</v>
      </c>
    </row>
    <row r="33" spans="1:27" x14ac:dyDescent="0.25">
      <c r="A33" s="100" t="str">
        <f t="shared" si="0"/>
        <v/>
      </c>
      <c r="B33" s="3">
        <f t="shared" ref="B33:B96" si="1">B32+1</f>
        <v>6</v>
      </c>
      <c r="D33" s="3" t="s">
        <v>0</v>
      </c>
      <c r="E33" s="107" t="s">
        <v>216</v>
      </c>
      <c r="F33" s="3" t="s">
        <v>181</v>
      </c>
      <c r="H33" s="3" t="s">
        <v>9</v>
      </c>
      <c r="I33" s="3" t="s">
        <v>11</v>
      </c>
      <c r="J33" s="3" t="s">
        <v>8</v>
      </c>
      <c r="Q33" s="21"/>
      <c r="R33" s="10"/>
      <c r="S33" s="10"/>
      <c r="T33" s="10"/>
      <c r="U33" s="10"/>
      <c r="V33" s="10"/>
      <c r="W33" s="10"/>
      <c r="X33" s="10"/>
      <c r="Y33" s="10"/>
      <c r="Z33" s="10"/>
      <c r="AA33" s="105"/>
    </row>
    <row r="34" spans="1:27" x14ac:dyDescent="0.25">
      <c r="A34" s="100" t="str">
        <f t="shared" si="0"/>
        <v/>
      </c>
      <c r="B34" s="3">
        <f t="shared" si="1"/>
        <v>7</v>
      </c>
      <c r="D34" s="3" t="s">
        <v>0</v>
      </c>
      <c r="E34" s="107" t="s">
        <v>184</v>
      </c>
      <c r="F34" s="3" t="s">
        <v>84</v>
      </c>
      <c r="H34" s="3" t="s">
        <v>186</v>
      </c>
      <c r="I34" s="3" t="s">
        <v>185</v>
      </c>
      <c r="J34" s="3" t="s">
        <v>187</v>
      </c>
      <c r="Q34" s="21"/>
      <c r="R34" s="10"/>
      <c r="S34" s="10"/>
      <c r="T34" s="10"/>
      <c r="U34" s="10"/>
      <c r="V34" s="10"/>
      <c r="W34" s="10"/>
      <c r="X34" s="10"/>
      <c r="Y34" s="10"/>
      <c r="Z34" s="10"/>
      <c r="AA34" s="105"/>
    </row>
    <row r="35" spans="1:27" x14ac:dyDescent="0.25">
      <c r="A35" s="100" t="str">
        <f t="shared" si="0"/>
        <v/>
      </c>
      <c r="B35" s="3">
        <f t="shared" si="1"/>
        <v>8</v>
      </c>
      <c r="D35" s="3" t="s">
        <v>0</v>
      </c>
      <c r="E35" s="107" t="s">
        <v>182</v>
      </c>
      <c r="F35" s="3" t="s">
        <v>183</v>
      </c>
      <c r="O35" s="21">
        <v>230</v>
      </c>
      <c r="Q35" s="21">
        <v>85</v>
      </c>
      <c r="R35" s="10"/>
      <c r="S35" s="10"/>
      <c r="T35" s="10"/>
      <c r="U35" s="10" t="s">
        <v>201</v>
      </c>
      <c r="V35" s="10" t="s">
        <v>199</v>
      </c>
      <c r="W35" s="10"/>
      <c r="X35" s="10" t="s">
        <v>200</v>
      </c>
      <c r="Y35" s="10"/>
      <c r="Z35" s="10"/>
      <c r="AA35" s="105"/>
    </row>
    <row r="36" spans="1:27" x14ac:dyDescent="0.25">
      <c r="A36" s="100" t="str">
        <f t="shared" si="0"/>
        <v>Extrudr_PETG_generic</v>
      </c>
      <c r="B36" s="3">
        <f>B35+1</f>
        <v>9</v>
      </c>
      <c r="C36" s="3" t="s">
        <v>203</v>
      </c>
      <c r="D36" s="3" t="s">
        <v>4</v>
      </c>
      <c r="E36" s="107" t="s">
        <v>20</v>
      </c>
      <c r="F36" s="3" t="s">
        <v>84</v>
      </c>
      <c r="H36" s="3" t="s">
        <v>24</v>
      </c>
      <c r="I36" s="3" t="s">
        <v>22</v>
      </c>
      <c r="J36" s="3" t="s">
        <v>23</v>
      </c>
      <c r="K36" s="3" t="s">
        <v>247</v>
      </c>
      <c r="O36" s="21">
        <v>215</v>
      </c>
      <c r="Q36" s="21">
        <v>80</v>
      </c>
      <c r="R36" s="10"/>
      <c r="S36" s="10"/>
      <c r="T36" s="10"/>
      <c r="U36" s="10"/>
      <c r="V36" s="10" t="s">
        <v>252</v>
      </c>
      <c r="W36" s="10"/>
      <c r="X36" s="10"/>
      <c r="Y36" s="10"/>
      <c r="Z36" s="10"/>
      <c r="AA36" s="105" t="s">
        <v>165</v>
      </c>
    </row>
    <row r="37" spans="1:27" x14ac:dyDescent="0.25">
      <c r="A37" s="100" t="str">
        <f t="shared" si="0"/>
        <v>Extrudr_Pearl_pearl</v>
      </c>
      <c r="B37" s="3">
        <f t="shared" si="1"/>
        <v>10</v>
      </c>
      <c r="C37" s="3" t="s">
        <v>202</v>
      </c>
      <c r="D37" s="3" t="s">
        <v>4</v>
      </c>
      <c r="E37" s="107" t="s">
        <v>5</v>
      </c>
      <c r="F37" s="3" t="s">
        <v>92</v>
      </c>
      <c r="H37" s="3" t="s">
        <v>24</v>
      </c>
      <c r="I37" s="3" t="s">
        <v>21</v>
      </c>
      <c r="J37" s="3" t="s">
        <v>14</v>
      </c>
      <c r="K37" s="3" t="s">
        <v>241</v>
      </c>
      <c r="O37" s="21">
        <v>210</v>
      </c>
      <c r="Q37" s="21">
        <v>60</v>
      </c>
      <c r="R37" s="10"/>
      <c r="S37" s="10"/>
      <c r="T37" s="10"/>
      <c r="U37" s="10"/>
      <c r="V37" s="10" t="s">
        <v>257</v>
      </c>
      <c r="W37" s="10"/>
      <c r="X37" s="10"/>
      <c r="Y37" s="10"/>
      <c r="Z37" s="10"/>
      <c r="AA37" s="105" t="s">
        <v>165</v>
      </c>
    </row>
    <row r="38" spans="1:27" x14ac:dyDescent="0.25">
      <c r="A38" s="100" t="str">
        <f t="shared" si="0"/>
        <v>Extrudr_Green-TEC_silver</v>
      </c>
      <c r="B38" s="3">
        <f t="shared" si="1"/>
        <v>11</v>
      </c>
      <c r="C38" s="3" t="s">
        <v>133</v>
      </c>
      <c r="D38" s="3" t="s">
        <v>4</v>
      </c>
      <c r="E38" s="107" t="s">
        <v>224</v>
      </c>
      <c r="F38" s="3" t="s">
        <v>225</v>
      </c>
      <c r="H38" s="15" t="s">
        <v>229</v>
      </c>
      <c r="I38" s="15" t="s">
        <v>228</v>
      </c>
      <c r="J38" s="3" t="s">
        <v>227</v>
      </c>
      <c r="K38" s="3" t="s">
        <v>241</v>
      </c>
      <c r="M38" s="3" t="s">
        <v>234</v>
      </c>
      <c r="O38" s="21">
        <v>235</v>
      </c>
      <c r="P38" s="21">
        <v>170</v>
      </c>
      <c r="Q38" s="21">
        <v>55</v>
      </c>
      <c r="R38" s="10" t="s">
        <v>226</v>
      </c>
      <c r="S38" s="10"/>
      <c r="T38" s="10"/>
      <c r="U38" s="10"/>
      <c r="V38" s="10" t="s">
        <v>257</v>
      </c>
      <c r="W38" s="10"/>
      <c r="X38" s="18">
        <v>50</v>
      </c>
      <c r="Y38" s="10" t="s">
        <v>35</v>
      </c>
      <c r="Z38" s="10"/>
      <c r="AA38" s="105" t="s">
        <v>165</v>
      </c>
    </row>
    <row r="39" spans="1:27" x14ac:dyDescent="0.25">
      <c r="A39" s="100" t="str">
        <f t="shared" si="0"/>
        <v>LAY_LayBrick_stone_fine</v>
      </c>
      <c r="B39" s="3">
        <f t="shared" si="1"/>
        <v>12</v>
      </c>
      <c r="C39" s="3" t="s">
        <v>188</v>
      </c>
      <c r="D39" s="3" t="s">
        <v>55</v>
      </c>
      <c r="E39" s="107" t="s">
        <v>38</v>
      </c>
      <c r="F39" s="3" t="s">
        <v>212</v>
      </c>
      <c r="H39" s="3" t="s">
        <v>54</v>
      </c>
      <c r="I39" s="3" t="s">
        <v>52</v>
      </c>
      <c r="O39" s="21">
        <v>180</v>
      </c>
      <c r="Q39" s="21">
        <v>40</v>
      </c>
      <c r="R39" s="10"/>
      <c r="S39" s="10"/>
      <c r="T39" s="18">
        <v>35</v>
      </c>
      <c r="U39" s="10"/>
      <c r="V39" s="10"/>
      <c r="W39" s="10"/>
      <c r="X39" s="18">
        <v>40</v>
      </c>
      <c r="Y39" s="10" t="s">
        <v>39</v>
      </c>
      <c r="Z39" s="10"/>
      <c r="AA39" s="105" t="s">
        <v>165</v>
      </c>
    </row>
    <row r="40" spans="1:27" x14ac:dyDescent="0.25">
      <c r="A40" s="100" t="str">
        <f t="shared" si="0"/>
        <v>LAY_LayBrick_stone_rough</v>
      </c>
      <c r="B40" s="3">
        <f t="shared" si="1"/>
        <v>13</v>
      </c>
      <c r="C40" s="3" t="s">
        <v>188</v>
      </c>
      <c r="D40" s="3" t="s">
        <v>55</v>
      </c>
      <c r="E40" s="107" t="s">
        <v>38</v>
      </c>
      <c r="F40" s="3" t="s">
        <v>213</v>
      </c>
      <c r="H40" s="3" t="s">
        <v>54</v>
      </c>
      <c r="I40" s="3" t="s">
        <v>53</v>
      </c>
      <c r="O40" s="21">
        <v>215</v>
      </c>
      <c r="Q40" s="21">
        <v>40</v>
      </c>
      <c r="R40" s="18"/>
      <c r="S40" s="10"/>
      <c r="T40" s="18">
        <v>35</v>
      </c>
      <c r="U40" s="10"/>
      <c r="V40" s="10"/>
      <c r="W40" s="10"/>
      <c r="X40" s="18">
        <v>50</v>
      </c>
      <c r="Y40" s="10" t="s">
        <v>39</v>
      </c>
      <c r="Z40" s="10"/>
      <c r="AA40" s="105" t="s">
        <v>165</v>
      </c>
    </row>
    <row r="41" spans="1:27" x14ac:dyDescent="0.25">
      <c r="A41" s="100" t="str">
        <f t="shared" si="0"/>
        <v/>
      </c>
      <c r="B41" s="3">
        <f t="shared" si="1"/>
        <v>14</v>
      </c>
      <c r="D41" s="3" t="s">
        <v>55</v>
      </c>
      <c r="E41" s="107" t="s">
        <v>46</v>
      </c>
      <c r="Q41" s="21"/>
      <c r="R41" s="10"/>
      <c r="S41" s="10"/>
      <c r="T41" s="10"/>
      <c r="U41" s="10"/>
      <c r="V41" s="10"/>
      <c r="W41" s="10"/>
      <c r="X41" s="10"/>
      <c r="Y41" s="10"/>
      <c r="Z41" s="10"/>
      <c r="AA41" s="105"/>
    </row>
    <row r="42" spans="1:27" x14ac:dyDescent="0.25">
      <c r="A42" s="100" t="str">
        <f t="shared" si="0"/>
        <v>mexhibit _PVA_support_white</v>
      </c>
      <c r="B42" s="3">
        <f t="shared" si="1"/>
        <v>15</v>
      </c>
      <c r="C42" s="3" t="s">
        <v>190</v>
      </c>
      <c r="D42" s="3" t="s">
        <v>31</v>
      </c>
      <c r="E42" s="107" t="s">
        <v>43</v>
      </c>
      <c r="F42" s="3" t="s">
        <v>51</v>
      </c>
      <c r="I42" s="11" t="s">
        <v>30</v>
      </c>
      <c r="K42" s="3" t="s">
        <v>243</v>
      </c>
      <c r="N42" s="3" t="s">
        <v>198</v>
      </c>
      <c r="O42" s="21">
        <v>195</v>
      </c>
      <c r="Q42" s="23"/>
      <c r="R42" s="10"/>
      <c r="S42" s="10" t="s">
        <v>40</v>
      </c>
      <c r="T42" s="10"/>
      <c r="U42" s="10"/>
      <c r="V42" s="10" t="s">
        <v>253</v>
      </c>
      <c r="W42" s="10"/>
      <c r="X42" s="14" t="s">
        <v>171</v>
      </c>
      <c r="Y42" s="14"/>
      <c r="Z42" s="18"/>
      <c r="AA42" s="105" t="s">
        <v>165</v>
      </c>
    </row>
    <row r="43" spans="1:27" x14ac:dyDescent="0.25">
      <c r="A43" s="100" t="str">
        <f t="shared" si="0"/>
        <v>NinjaTek_Ninjaflex_black</v>
      </c>
      <c r="B43" s="3">
        <f t="shared" si="1"/>
        <v>16</v>
      </c>
      <c r="C43" s="3" t="s">
        <v>189</v>
      </c>
      <c r="D43" s="3" t="s">
        <v>25</v>
      </c>
      <c r="E43" s="107" t="s">
        <v>42</v>
      </c>
      <c r="F43" s="3" t="s">
        <v>41</v>
      </c>
      <c r="H43" s="3" t="s">
        <v>29</v>
      </c>
      <c r="I43" s="3" t="s">
        <v>27</v>
      </c>
      <c r="J43" s="3" t="s">
        <v>28</v>
      </c>
      <c r="L43" s="3" t="s">
        <v>26</v>
      </c>
      <c r="N43" s="3" t="s">
        <v>172</v>
      </c>
      <c r="O43" s="21">
        <v>225</v>
      </c>
      <c r="Q43" s="21">
        <v>45</v>
      </c>
      <c r="R43" s="10"/>
      <c r="S43" s="10" t="s">
        <v>40</v>
      </c>
      <c r="T43" s="10"/>
      <c r="U43" s="10"/>
      <c r="V43" s="18"/>
      <c r="W43" s="10"/>
      <c r="X43" s="18">
        <v>25</v>
      </c>
      <c r="Y43" s="10" t="s">
        <v>35</v>
      </c>
      <c r="Z43" s="10"/>
      <c r="AA43" s="105" t="s">
        <v>165</v>
      </c>
    </row>
    <row r="44" spans="1:27" x14ac:dyDescent="0.25">
      <c r="A44" s="100" t="str">
        <f t="shared" si="0"/>
        <v>PolyMaker_PolyFlex_black</v>
      </c>
      <c r="B44" s="3">
        <f t="shared" si="1"/>
        <v>17</v>
      </c>
      <c r="C44" s="3" t="s">
        <v>189</v>
      </c>
      <c r="D44" s="3" t="s">
        <v>48</v>
      </c>
      <c r="E44" s="107" t="s">
        <v>49</v>
      </c>
      <c r="F44" s="3" t="s">
        <v>41</v>
      </c>
      <c r="H44" s="3" t="s">
        <v>58</v>
      </c>
      <c r="I44" s="11" t="s">
        <v>57</v>
      </c>
      <c r="K44" s="3" t="s">
        <v>59</v>
      </c>
      <c r="L44" s="3" t="s">
        <v>56</v>
      </c>
      <c r="O44" s="21">
        <v>225</v>
      </c>
      <c r="Q44" s="24">
        <v>55</v>
      </c>
      <c r="R44" s="10"/>
      <c r="S44" s="10" t="s">
        <v>40</v>
      </c>
      <c r="T44" s="10"/>
      <c r="U44" s="10"/>
      <c r="V44" s="10" t="s">
        <v>255</v>
      </c>
      <c r="W44" s="10"/>
      <c r="X44" s="19">
        <v>25</v>
      </c>
      <c r="Y44" s="16" t="s">
        <v>35</v>
      </c>
      <c r="Z44" s="10"/>
      <c r="AA44" s="105" t="s">
        <v>165</v>
      </c>
    </row>
    <row r="45" spans="1:27" x14ac:dyDescent="0.25">
      <c r="A45" s="100" t="str">
        <f t="shared" si="0"/>
        <v>PolyMaker_PolyMax_black</v>
      </c>
      <c r="B45" s="3">
        <f t="shared" si="1"/>
        <v>18</v>
      </c>
      <c r="C45" s="3" t="s">
        <v>189</v>
      </c>
      <c r="D45" s="3" t="s">
        <v>48</v>
      </c>
      <c r="E45" s="107" t="s">
        <v>50</v>
      </c>
      <c r="F45" s="3" t="s">
        <v>41</v>
      </c>
      <c r="H45" s="3" t="s">
        <v>61</v>
      </c>
      <c r="I45" s="11" t="s">
        <v>60</v>
      </c>
      <c r="K45" s="3" t="s">
        <v>62</v>
      </c>
      <c r="O45" s="21">
        <v>200</v>
      </c>
      <c r="Q45" s="24">
        <v>55</v>
      </c>
      <c r="R45" s="10"/>
      <c r="S45" s="10"/>
      <c r="T45" s="10"/>
      <c r="U45" s="10"/>
      <c r="V45" s="10" t="s">
        <v>256</v>
      </c>
      <c r="W45" s="10"/>
      <c r="X45" s="19">
        <v>50</v>
      </c>
      <c r="Y45" s="16"/>
      <c r="Z45" s="10"/>
      <c r="AA45" s="105" t="s">
        <v>165</v>
      </c>
    </row>
    <row r="46" spans="1:27" x14ac:dyDescent="0.25">
      <c r="A46" s="100" t="str">
        <f t="shared" si="0"/>
        <v>PolyMaker_PolySupport_white</v>
      </c>
      <c r="B46" s="3">
        <f t="shared" si="1"/>
        <v>19</v>
      </c>
      <c r="C46" s="3" t="s">
        <v>190</v>
      </c>
      <c r="D46" s="3" t="s">
        <v>48</v>
      </c>
      <c r="E46" s="107" t="s">
        <v>47</v>
      </c>
      <c r="F46" s="3" t="s">
        <v>51</v>
      </c>
      <c r="H46" s="3" t="s">
        <v>175</v>
      </c>
      <c r="I46" s="11" t="s">
        <v>174</v>
      </c>
      <c r="J46" s="3" t="s">
        <v>173</v>
      </c>
      <c r="K46" s="3" t="s">
        <v>242</v>
      </c>
      <c r="N46" s="3" t="s">
        <v>176</v>
      </c>
      <c r="O46" s="21">
        <v>235</v>
      </c>
      <c r="P46" s="21">
        <v>170</v>
      </c>
      <c r="Q46" s="108"/>
      <c r="R46" s="10"/>
      <c r="S46" s="10"/>
      <c r="T46" s="10"/>
      <c r="U46" s="10"/>
      <c r="V46" s="10" t="s">
        <v>258</v>
      </c>
      <c r="W46" s="10"/>
      <c r="X46" s="20">
        <v>40</v>
      </c>
      <c r="Y46" s="14"/>
      <c r="Z46" s="10"/>
      <c r="AA46" s="105" t="s">
        <v>165</v>
      </c>
    </row>
    <row r="47" spans="1:27" x14ac:dyDescent="0.25">
      <c r="A47" s="100" t="str">
        <f t="shared" si="0"/>
        <v/>
      </c>
      <c r="B47" s="3">
        <f t="shared" si="1"/>
        <v>20</v>
      </c>
      <c r="D47" s="3" t="s">
        <v>64</v>
      </c>
      <c r="E47" s="107" t="s">
        <v>65</v>
      </c>
      <c r="N47" s="3" t="s">
        <v>66</v>
      </c>
      <c r="O47" s="21">
        <v>245</v>
      </c>
      <c r="Q47" s="21">
        <v>65</v>
      </c>
      <c r="R47" s="18">
        <v>0</v>
      </c>
      <c r="S47" s="10"/>
      <c r="T47" s="10"/>
      <c r="U47" s="10"/>
      <c r="V47" s="10"/>
      <c r="W47" s="18">
        <v>107</v>
      </c>
      <c r="X47" s="18">
        <v>40</v>
      </c>
      <c r="Y47" s="10" t="s">
        <v>35</v>
      </c>
      <c r="Z47" s="10"/>
      <c r="AA47" s="105"/>
    </row>
    <row r="48" spans="1:27" x14ac:dyDescent="0.25">
      <c r="A48" s="100" t="str">
        <f t="shared" si="0"/>
        <v>twoBEars_BioFila_cotton</v>
      </c>
      <c r="B48" s="3">
        <f t="shared" si="1"/>
        <v>21</v>
      </c>
      <c r="C48" s="3" t="s">
        <v>197</v>
      </c>
      <c r="D48" s="3" t="s">
        <v>3</v>
      </c>
      <c r="E48" s="107" t="s">
        <v>179</v>
      </c>
      <c r="F48" s="3" t="s">
        <v>180</v>
      </c>
      <c r="H48" s="15"/>
      <c r="I48" s="15"/>
      <c r="J48" s="15"/>
      <c r="O48" s="21">
        <v>195</v>
      </c>
      <c r="Q48" s="21">
        <v>55</v>
      </c>
      <c r="R48" s="10"/>
      <c r="S48" s="10"/>
      <c r="T48" s="10"/>
      <c r="U48" s="10"/>
      <c r="V48" s="10"/>
      <c r="W48" s="10"/>
      <c r="X48" s="18">
        <v>50</v>
      </c>
      <c r="Y48" s="10"/>
      <c r="Z48" s="10"/>
      <c r="AA48" s="105" t="s">
        <v>165</v>
      </c>
    </row>
    <row r="49" spans="1:27" x14ac:dyDescent="0.25">
      <c r="A49" s="100" t="str">
        <f t="shared" si="0"/>
        <v>twoBEars_BioFila_linen</v>
      </c>
      <c r="B49" s="3">
        <f t="shared" si="1"/>
        <v>22</v>
      </c>
      <c r="C49" s="3" t="s">
        <v>191</v>
      </c>
      <c r="D49" s="3" t="s">
        <v>3</v>
      </c>
      <c r="E49" s="107" t="s">
        <v>179</v>
      </c>
      <c r="F49" s="3" t="s">
        <v>93</v>
      </c>
      <c r="H49" s="15"/>
      <c r="I49" s="15"/>
      <c r="J49" s="3" t="s">
        <v>37</v>
      </c>
      <c r="O49" s="21">
        <v>195</v>
      </c>
      <c r="Q49" s="21">
        <v>55</v>
      </c>
      <c r="R49" s="10"/>
      <c r="S49" s="10"/>
      <c r="T49" s="10"/>
      <c r="U49" s="10"/>
      <c r="V49" s="10"/>
      <c r="W49" s="10"/>
      <c r="X49" s="18">
        <v>50</v>
      </c>
      <c r="Y49" s="10"/>
      <c r="Z49" s="10"/>
      <c r="AA49" s="105" t="s">
        <v>165</v>
      </c>
    </row>
    <row r="50" spans="1:27" x14ac:dyDescent="0.25">
      <c r="A50" s="100" t="str">
        <f t="shared" si="0"/>
        <v>Ultimaker_PLA_white</v>
      </c>
      <c r="B50" s="3">
        <f t="shared" si="1"/>
        <v>23</v>
      </c>
      <c r="C50" s="3" t="s">
        <v>217</v>
      </c>
      <c r="D50" s="3" t="s">
        <v>218</v>
      </c>
      <c r="E50" s="107" t="s">
        <v>2</v>
      </c>
      <c r="F50" s="3" t="s">
        <v>51</v>
      </c>
      <c r="N50" s="3" t="s">
        <v>219</v>
      </c>
      <c r="O50" s="21">
        <v>218</v>
      </c>
      <c r="Q50" s="21">
        <v>60</v>
      </c>
      <c r="R50" s="10"/>
      <c r="S50" s="10"/>
      <c r="T50" s="10"/>
      <c r="U50" s="10"/>
      <c r="V50" s="10"/>
      <c r="W50" s="10" t="s">
        <v>222</v>
      </c>
      <c r="X50" s="10"/>
      <c r="Y50" s="10"/>
      <c r="Z50" s="10"/>
      <c r="AA50" s="105" t="s">
        <v>165</v>
      </c>
    </row>
    <row r="51" spans="1:27" x14ac:dyDescent="0.25">
      <c r="A51" s="100" t="str">
        <f t="shared" si="0"/>
        <v>Ultimaker_PVA_support_natural</v>
      </c>
      <c r="B51" s="3">
        <f t="shared" si="1"/>
        <v>24</v>
      </c>
      <c r="C51" s="3" t="s">
        <v>262</v>
      </c>
      <c r="D51" s="3" t="s">
        <v>218</v>
      </c>
      <c r="E51" s="107" t="s">
        <v>43</v>
      </c>
      <c r="F51" s="3" t="s">
        <v>261</v>
      </c>
      <c r="I51" s="3" t="s">
        <v>260</v>
      </c>
      <c r="K51" s="141" t="s">
        <v>259</v>
      </c>
      <c r="O51" s="18">
        <v>215</v>
      </c>
      <c r="P51" s="21">
        <v>175</v>
      </c>
      <c r="Q51" s="21"/>
      <c r="R51" s="10"/>
      <c r="S51" s="10"/>
      <c r="T51" s="10"/>
      <c r="U51" s="10"/>
      <c r="V51" s="10" t="s">
        <v>258</v>
      </c>
      <c r="W51" s="10"/>
      <c r="X51" s="10"/>
      <c r="Y51" s="10"/>
      <c r="Z51" s="10"/>
      <c r="AA51" s="105" t="s">
        <v>165</v>
      </c>
    </row>
    <row r="52" spans="1:27" x14ac:dyDescent="0.25">
      <c r="A52" s="100" t="str">
        <f t="shared" si="0"/>
        <v>FormFutura_Vulcano_black</v>
      </c>
      <c r="B52" s="3">
        <f t="shared" si="1"/>
        <v>25</v>
      </c>
      <c r="C52" s="3" t="s">
        <v>189</v>
      </c>
      <c r="D52" s="3" t="s">
        <v>264</v>
      </c>
      <c r="E52" s="107" t="s">
        <v>265</v>
      </c>
      <c r="F52" s="3" t="s">
        <v>41</v>
      </c>
      <c r="H52" s="3" t="s">
        <v>267</v>
      </c>
      <c r="I52" s="3" t="s">
        <v>266</v>
      </c>
      <c r="J52" s="3" t="s">
        <v>268</v>
      </c>
      <c r="K52" s="3" t="s">
        <v>18</v>
      </c>
      <c r="N52" s="3" t="s">
        <v>269</v>
      </c>
      <c r="O52" s="21">
        <v>225</v>
      </c>
      <c r="Q52" s="21">
        <v>55</v>
      </c>
      <c r="R52" s="18">
        <v>70</v>
      </c>
      <c r="S52" s="10"/>
      <c r="T52" s="10"/>
      <c r="U52" s="10"/>
      <c r="V52" s="10" t="s">
        <v>258</v>
      </c>
      <c r="W52" s="10" t="s">
        <v>226</v>
      </c>
      <c r="X52" s="18">
        <v>50</v>
      </c>
      <c r="Y52" s="10" t="s">
        <v>35</v>
      </c>
      <c r="Z52" s="10"/>
      <c r="AA52" s="105" t="s">
        <v>165</v>
      </c>
    </row>
    <row r="53" spans="1:27" x14ac:dyDescent="0.25">
      <c r="A53" s="100" t="str">
        <f t="shared" si="0"/>
        <v/>
      </c>
      <c r="B53" s="3">
        <f t="shared" si="1"/>
        <v>26</v>
      </c>
      <c r="E53" s="107"/>
      <c r="Q53" s="21"/>
      <c r="R53" s="10"/>
      <c r="S53" s="10"/>
      <c r="T53" s="10"/>
      <c r="U53" s="10"/>
      <c r="V53" s="10"/>
      <c r="W53" s="10"/>
      <c r="X53" s="10"/>
      <c r="Y53" s="10"/>
      <c r="Z53" s="10"/>
      <c r="AA53" s="105"/>
    </row>
    <row r="54" spans="1:27" x14ac:dyDescent="0.25">
      <c r="A54" s="100" t="str">
        <f t="shared" si="0"/>
        <v/>
      </c>
      <c r="B54" s="3">
        <f t="shared" si="1"/>
        <v>27</v>
      </c>
      <c r="E54" s="107"/>
      <c r="Q54" s="21"/>
      <c r="R54" s="10"/>
      <c r="S54" s="10"/>
      <c r="T54" s="10"/>
      <c r="U54" s="10"/>
      <c r="V54" s="10"/>
      <c r="W54" s="10"/>
      <c r="X54" s="10"/>
      <c r="Y54" s="10"/>
      <c r="Z54" s="10"/>
      <c r="AA54" s="105"/>
    </row>
    <row r="55" spans="1:27" x14ac:dyDescent="0.25">
      <c r="A55" s="100" t="str">
        <f t="shared" si="0"/>
        <v/>
      </c>
      <c r="B55" s="3">
        <f t="shared" si="1"/>
        <v>28</v>
      </c>
      <c r="E55" s="107"/>
      <c r="Q55" s="21"/>
      <c r="R55" s="10"/>
      <c r="S55" s="10"/>
      <c r="T55" s="10"/>
      <c r="U55" s="10"/>
      <c r="V55" s="10"/>
      <c r="W55" s="10"/>
      <c r="X55" s="10"/>
      <c r="Y55" s="10"/>
      <c r="Z55" s="10"/>
      <c r="AA55" s="105"/>
    </row>
    <row r="56" spans="1:27" x14ac:dyDescent="0.25">
      <c r="A56" s="100" t="str">
        <f t="shared" si="0"/>
        <v/>
      </c>
      <c r="B56" s="3">
        <f t="shared" si="1"/>
        <v>29</v>
      </c>
      <c r="E56" s="107"/>
      <c r="Q56" s="21"/>
      <c r="S56" s="10"/>
      <c r="T56" s="10"/>
      <c r="U56" s="10"/>
      <c r="V56" s="10"/>
      <c r="W56" s="10"/>
      <c r="X56" s="10"/>
      <c r="Y56" s="10"/>
      <c r="Z56" s="10"/>
      <c r="AA56" s="105"/>
    </row>
    <row r="57" spans="1:27" x14ac:dyDescent="0.25">
      <c r="A57" s="100" t="str">
        <f t="shared" si="0"/>
        <v/>
      </c>
      <c r="B57" s="3">
        <f t="shared" si="1"/>
        <v>30</v>
      </c>
      <c r="E57" s="107"/>
      <c r="Q57" s="21"/>
      <c r="S57" s="10"/>
      <c r="T57" s="10"/>
      <c r="U57" s="10"/>
      <c r="V57" s="10"/>
      <c r="W57" s="10"/>
      <c r="X57" s="10"/>
      <c r="Y57" s="10"/>
      <c r="Z57" s="10"/>
      <c r="AA57" s="105"/>
    </row>
    <row r="58" spans="1:27" x14ac:dyDescent="0.25">
      <c r="A58" s="100" t="str">
        <f t="shared" si="0"/>
        <v/>
      </c>
      <c r="B58" s="3">
        <f t="shared" si="1"/>
        <v>31</v>
      </c>
      <c r="E58" s="107"/>
      <c r="Q58" s="21"/>
      <c r="S58" s="10"/>
      <c r="T58" s="10"/>
      <c r="U58" s="10"/>
      <c r="V58" s="10"/>
      <c r="W58" s="10"/>
      <c r="X58" s="10"/>
      <c r="Y58" s="10"/>
      <c r="Z58" s="10"/>
      <c r="AA58" s="105"/>
    </row>
    <row r="59" spans="1:27" x14ac:dyDescent="0.25">
      <c r="A59" s="100" t="str">
        <f t="shared" si="0"/>
        <v/>
      </c>
      <c r="B59" s="3">
        <f t="shared" si="1"/>
        <v>32</v>
      </c>
      <c r="E59" s="107"/>
      <c r="Q59" s="21"/>
      <c r="S59" s="10"/>
      <c r="T59" s="10"/>
      <c r="U59" s="10"/>
      <c r="V59" s="10"/>
      <c r="W59" s="10"/>
      <c r="X59" s="10"/>
      <c r="Y59" s="10"/>
      <c r="Z59" s="10"/>
      <c r="AA59" s="105"/>
    </row>
    <row r="60" spans="1:27" x14ac:dyDescent="0.25">
      <c r="A60" s="100" t="str">
        <f t="shared" ref="A60:A91" si="2">IF(AA60="","",D60&amp;"_"&amp;E60&amp;IF(F60="","","_"&amp;F60))</f>
        <v/>
      </c>
      <c r="B60" s="3">
        <f t="shared" si="1"/>
        <v>33</v>
      </c>
      <c r="E60" s="107"/>
      <c r="Q60" s="21"/>
      <c r="S60" s="10"/>
      <c r="T60" s="10"/>
      <c r="U60" s="10"/>
      <c r="V60" s="10"/>
      <c r="W60" s="10"/>
      <c r="X60" s="10"/>
      <c r="Y60" s="10"/>
      <c r="Z60" s="10"/>
      <c r="AA60" s="105"/>
    </row>
    <row r="61" spans="1:27" x14ac:dyDescent="0.25">
      <c r="A61" s="100" t="str">
        <f t="shared" si="2"/>
        <v/>
      </c>
      <c r="B61" s="3">
        <f t="shared" si="1"/>
        <v>34</v>
      </c>
      <c r="E61" s="107"/>
      <c r="Q61" s="21"/>
      <c r="S61" s="10"/>
      <c r="T61" s="10"/>
      <c r="U61" s="10"/>
      <c r="V61" s="10"/>
      <c r="W61" s="10"/>
      <c r="X61" s="10"/>
      <c r="Y61" s="10"/>
      <c r="Z61" s="10"/>
      <c r="AA61" s="105"/>
    </row>
    <row r="62" spans="1:27" x14ac:dyDescent="0.25">
      <c r="A62" s="100" t="str">
        <f t="shared" si="2"/>
        <v/>
      </c>
      <c r="B62" s="3">
        <f t="shared" si="1"/>
        <v>35</v>
      </c>
      <c r="E62" s="107"/>
      <c r="Q62" s="21"/>
      <c r="S62" s="10"/>
      <c r="T62" s="10"/>
      <c r="U62" s="10"/>
      <c r="V62" s="10"/>
      <c r="W62" s="10"/>
      <c r="X62" s="10"/>
      <c r="Y62" s="10"/>
      <c r="Z62" s="10"/>
      <c r="AA62" s="105"/>
    </row>
    <row r="63" spans="1:27" x14ac:dyDescent="0.25">
      <c r="A63" s="100" t="str">
        <f t="shared" si="2"/>
        <v/>
      </c>
      <c r="B63" s="3">
        <f t="shared" si="1"/>
        <v>36</v>
      </c>
      <c r="E63" s="107"/>
      <c r="Q63" s="21"/>
      <c r="S63" s="10"/>
      <c r="T63" s="10"/>
      <c r="U63" s="10"/>
      <c r="V63" s="10"/>
      <c r="W63" s="10"/>
      <c r="X63" s="10"/>
      <c r="Y63" s="10"/>
      <c r="Z63" s="10"/>
      <c r="AA63" s="105"/>
    </row>
    <row r="64" spans="1:27" x14ac:dyDescent="0.25">
      <c r="A64" s="100" t="str">
        <f t="shared" si="2"/>
        <v/>
      </c>
      <c r="B64" s="3">
        <f t="shared" si="1"/>
        <v>37</v>
      </c>
      <c r="E64" s="107"/>
      <c r="Q64" s="21"/>
      <c r="R64" s="10"/>
      <c r="S64" s="10"/>
      <c r="T64" s="10"/>
      <c r="U64" s="10"/>
      <c r="V64" s="10"/>
      <c r="W64" s="10"/>
      <c r="X64" s="10"/>
      <c r="Y64" s="10"/>
      <c r="Z64" s="10"/>
      <c r="AA64" s="105"/>
    </row>
    <row r="65" spans="1:27" x14ac:dyDescent="0.25">
      <c r="A65" s="100" t="str">
        <f t="shared" si="2"/>
        <v/>
      </c>
      <c r="B65" s="3">
        <f t="shared" si="1"/>
        <v>38</v>
      </c>
      <c r="E65" s="107"/>
      <c r="Q65" s="21"/>
      <c r="R65" s="10"/>
      <c r="S65" s="10"/>
      <c r="T65" s="10"/>
      <c r="U65" s="10"/>
      <c r="V65" s="10"/>
      <c r="W65" s="10"/>
      <c r="X65" s="10"/>
      <c r="Z65" s="10"/>
      <c r="AA65" s="105"/>
    </row>
    <row r="66" spans="1:27" x14ac:dyDescent="0.25">
      <c r="A66" s="100" t="str">
        <f t="shared" si="2"/>
        <v/>
      </c>
      <c r="B66" s="3">
        <f t="shared" si="1"/>
        <v>39</v>
      </c>
      <c r="E66" s="107"/>
      <c r="Q66" s="21"/>
      <c r="R66" s="10"/>
      <c r="S66" s="10"/>
      <c r="T66" s="10"/>
      <c r="U66" s="10"/>
      <c r="V66" s="10"/>
      <c r="W66" s="10"/>
      <c r="X66" s="10"/>
      <c r="Z66" s="10"/>
      <c r="AA66" s="105"/>
    </row>
    <row r="67" spans="1:27" x14ac:dyDescent="0.25">
      <c r="A67" s="100" t="str">
        <f t="shared" si="2"/>
        <v/>
      </c>
      <c r="B67" s="3">
        <f t="shared" si="1"/>
        <v>40</v>
      </c>
      <c r="E67" s="107"/>
      <c r="Q67" s="21"/>
      <c r="R67" s="10"/>
      <c r="S67" s="10"/>
      <c r="T67" s="10"/>
      <c r="U67" s="10"/>
      <c r="V67" s="10"/>
      <c r="W67" s="10"/>
      <c r="X67" s="10"/>
      <c r="Z67" s="10"/>
      <c r="AA67" s="105"/>
    </row>
    <row r="68" spans="1:27" x14ac:dyDescent="0.25">
      <c r="A68" s="100" t="str">
        <f t="shared" si="2"/>
        <v/>
      </c>
      <c r="B68" s="3">
        <f t="shared" si="1"/>
        <v>41</v>
      </c>
      <c r="E68" s="107"/>
      <c r="Q68" s="21"/>
      <c r="R68" s="10"/>
      <c r="S68" s="10"/>
      <c r="T68" s="10"/>
      <c r="U68" s="10"/>
      <c r="V68" s="10"/>
      <c r="W68" s="10"/>
      <c r="X68" s="10"/>
      <c r="Z68" s="10"/>
      <c r="AA68" s="105"/>
    </row>
    <row r="69" spans="1:27" x14ac:dyDescent="0.25">
      <c r="A69" s="100" t="str">
        <f t="shared" si="2"/>
        <v/>
      </c>
      <c r="B69" s="3">
        <f t="shared" si="1"/>
        <v>42</v>
      </c>
      <c r="E69" s="107"/>
      <c r="Q69" s="21"/>
      <c r="R69" s="10"/>
      <c r="S69" s="10"/>
      <c r="T69" s="10"/>
      <c r="U69" s="10"/>
      <c r="V69" s="10"/>
      <c r="W69" s="10"/>
      <c r="X69" s="10"/>
      <c r="Z69" s="10"/>
      <c r="AA69" s="105"/>
    </row>
    <row r="70" spans="1:27" x14ac:dyDescent="0.25">
      <c r="A70" s="100" t="str">
        <f t="shared" si="2"/>
        <v/>
      </c>
      <c r="B70" s="3">
        <f t="shared" si="1"/>
        <v>43</v>
      </c>
      <c r="E70" s="107"/>
      <c r="Q70" s="10"/>
      <c r="R70" s="10"/>
      <c r="S70" s="10"/>
      <c r="T70" s="10"/>
      <c r="U70" s="10"/>
      <c r="V70" s="10"/>
      <c r="W70" s="10"/>
      <c r="Z70" s="10"/>
      <c r="AA70" s="105"/>
    </row>
    <row r="71" spans="1:27" x14ac:dyDescent="0.25">
      <c r="A71" s="100" t="str">
        <f t="shared" si="2"/>
        <v/>
      </c>
      <c r="B71" s="3">
        <f t="shared" si="1"/>
        <v>44</v>
      </c>
      <c r="E71" s="107"/>
      <c r="Q71" s="10"/>
      <c r="R71" s="10"/>
      <c r="S71" s="10"/>
      <c r="T71" s="10"/>
      <c r="U71" s="10"/>
      <c r="V71" s="10"/>
      <c r="W71" s="10"/>
      <c r="Z71" s="10"/>
      <c r="AA71" s="105"/>
    </row>
    <row r="72" spans="1:27" x14ac:dyDescent="0.25">
      <c r="A72" s="100" t="str">
        <f t="shared" si="2"/>
        <v/>
      </c>
      <c r="B72" s="3">
        <f t="shared" si="1"/>
        <v>45</v>
      </c>
      <c r="E72" s="107"/>
      <c r="Q72" s="10"/>
      <c r="R72" s="10"/>
      <c r="S72" s="10"/>
      <c r="T72" s="10"/>
      <c r="U72" s="10"/>
      <c r="V72" s="10"/>
      <c r="W72" s="10"/>
      <c r="Z72" s="10"/>
      <c r="AA72" s="105"/>
    </row>
    <row r="73" spans="1:27" x14ac:dyDescent="0.25">
      <c r="A73" s="100" t="str">
        <f t="shared" si="2"/>
        <v/>
      </c>
      <c r="B73" s="3">
        <f t="shared" si="1"/>
        <v>46</v>
      </c>
      <c r="E73" s="107"/>
      <c r="Q73" s="10"/>
      <c r="R73" s="10"/>
      <c r="S73" s="10"/>
      <c r="T73" s="10"/>
      <c r="U73" s="10"/>
      <c r="V73" s="10"/>
      <c r="W73" s="10"/>
      <c r="Z73" s="10"/>
      <c r="AA73" s="105"/>
    </row>
    <row r="74" spans="1:27" x14ac:dyDescent="0.25">
      <c r="A74" s="100" t="str">
        <f t="shared" si="2"/>
        <v/>
      </c>
      <c r="B74" s="3">
        <f t="shared" si="1"/>
        <v>47</v>
      </c>
      <c r="E74" s="107"/>
      <c r="Q74" s="10"/>
      <c r="R74" s="10"/>
      <c r="S74" s="10"/>
      <c r="T74" s="10"/>
      <c r="U74" s="10"/>
      <c r="V74" s="10"/>
      <c r="W74" s="10"/>
      <c r="Z74" s="10"/>
      <c r="AA74" s="105"/>
    </row>
    <row r="75" spans="1:27" x14ac:dyDescent="0.25">
      <c r="A75" s="100" t="str">
        <f t="shared" si="2"/>
        <v/>
      </c>
      <c r="B75" s="3">
        <f t="shared" si="1"/>
        <v>48</v>
      </c>
      <c r="E75" s="107"/>
      <c r="Q75" s="10"/>
      <c r="R75" s="10"/>
      <c r="S75" s="10"/>
      <c r="T75" s="10"/>
      <c r="U75" s="10"/>
      <c r="V75" s="10"/>
      <c r="W75" s="10"/>
      <c r="Z75" s="10"/>
      <c r="AA75" s="105"/>
    </row>
    <row r="76" spans="1:27" x14ac:dyDescent="0.25">
      <c r="A76" s="100" t="str">
        <f t="shared" si="2"/>
        <v/>
      </c>
      <c r="B76" s="3">
        <f t="shared" si="1"/>
        <v>49</v>
      </c>
      <c r="E76" s="107"/>
      <c r="Q76" s="10"/>
      <c r="R76" s="10"/>
      <c r="S76" s="10"/>
      <c r="T76" s="10"/>
      <c r="U76" s="10"/>
      <c r="V76" s="10"/>
      <c r="W76" s="10"/>
      <c r="Z76" s="10"/>
      <c r="AA76" s="105"/>
    </row>
    <row r="77" spans="1:27" x14ac:dyDescent="0.25">
      <c r="A77" s="100" t="str">
        <f t="shared" si="2"/>
        <v/>
      </c>
      <c r="B77" s="3">
        <f t="shared" si="1"/>
        <v>50</v>
      </c>
      <c r="E77" s="107"/>
      <c r="Q77" s="10"/>
      <c r="R77" s="10"/>
      <c r="S77" s="10"/>
      <c r="T77" s="10"/>
      <c r="U77" s="10"/>
      <c r="V77" s="10"/>
      <c r="W77" s="10"/>
      <c r="Z77" s="10"/>
      <c r="AA77" s="105"/>
    </row>
    <row r="78" spans="1:27" x14ac:dyDescent="0.25">
      <c r="A78" s="100" t="str">
        <f t="shared" si="2"/>
        <v/>
      </c>
      <c r="B78" s="3">
        <f t="shared" si="1"/>
        <v>51</v>
      </c>
      <c r="E78" s="107"/>
      <c r="Q78" s="10"/>
      <c r="R78" s="10"/>
      <c r="S78" s="10"/>
      <c r="T78" s="10"/>
      <c r="U78" s="10"/>
      <c r="V78" s="10"/>
      <c r="W78" s="10"/>
      <c r="Z78" s="10"/>
      <c r="AA78" s="105"/>
    </row>
    <row r="79" spans="1:27" x14ac:dyDescent="0.25">
      <c r="A79" s="100" t="str">
        <f t="shared" si="2"/>
        <v/>
      </c>
      <c r="B79" s="3">
        <f t="shared" si="1"/>
        <v>52</v>
      </c>
      <c r="E79" s="107"/>
      <c r="Q79" s="10"/>
      <c r="R79" s="10"/>
      <c r="S79" s="10"/>
      <c r="T79" s="10"/>
      <c r="U79" s="10"/>
      <c r="V79" s="10"/>
      <c r="W79" s="10"/>
      <c r="Z79" s="10"/>
      <c r="AA79" s="105"/>
    </row>
    <row r="80" spans="1:27" x14ac:dyDescent="0.25">
      <c r="A80" s="100" t="str">
        <f t="shared" si="2"/>
        <v/>
      </c>
      <c r="B80" s="3">
        <f t="shared" si="1"/>
        <v>53</v>
      </c>
      <c r="E80" s="107"/>
      <c r="Q80" s="10"/>
      <c r="R80" s="10"/>
      <c r="S80" s="10"/>
      <c r="T80" s="10"/>
      <c r="U80" s="10"/>
      <c r="V80" s="10"/>
      <c r="W80" s="10"/>
      <c r="Z80" s="10"/>
      <c r="AA80" s="105"/>
    </row>
    <row r="81" spans="1:27" x14ac:dyDescent="0.25">
      <c r="A81" s="100" t="str">
        <f t="shared" si="2"/>
        <v/>
      </c>
      <c r="B81" s="3">
        <f t="shared" si="1"/>
        <v>54</v>
      </c>
      <c r="E81" s="107"/>
      <c r="Q81" s="10"/>
      <c r="R81" s="10"/>
      <c r="S81" s="10"/>
      <c r="T81" s="10"/>
      <c r="U81" s="10"/>
      <c r="V81" s="10"/>
      <c r="W81" s="10"/>
      <c r="Z81" s="10"/>
      <c r="AA81" s="105"/>
    </row>
    <row r="82" spans="1:27" x14ac:dyDescent="0.25">
      <c r="A82" s="100" t="str">
        <f t="shared" si="2"/>
        <v/>
      </c>
      <c r="B82" s="3">
        <f t="shared" si="1"/>
        <v>55</v>
      </c>
      <c r="E82" s="107"/>
      <c r="Q82" s="10"/>
      <c r="R82" s="10"/>
      <c r="S82" s="10"/>
      <c r="T82" s="10"/>
      <c r="U82" s="10"/>
      <c r="V82" s="10"/>
      <c r="W82" s="10"/>
      <c r="Z82" s="10"/>
      <c r="AA82" s="105"/>
    </row>
    <row r="83" spans="1:27" x14ac:dyDescent="0.25">
      <c r="A83" s="100" t="str">
        <f t="shared" si="2"/>
        <v/>
      </c>
      <c r="B83" s="3">
        <f t="shared" si="1"/>
        <v>56</v>
      </c>
      <c r="E83" s="107"/>
      <c r="Q83" s="10"/>
      <c r="R83" s="10"/>
      <c r="S83" s="10"/>
      <c r="T83" s="10"/>
      <c r="U83" s="10"/>
      <c r="V83" s="10"/>
      <c r="W83" s="10"/>
      <c r="X83" s="10"/>
      <c r="Z83" s="10"/>
      <c r="AA83" s="105"/>
    </row>
    <row r="84" spans="1:27" x14ac:dyDescent="0.25">
      <c r="A84" s="100" t="str">
        <f t="shared" si="2"/>
        <v/>
      </c>
      <c r="B84" s="3">
        <f t="shared" si="1"/>
        <v>57</v>
      </c>
      <c r="E84" s="107"/>
      <c r="Q84" s="10"/>
      <c r="R84" s="10"/>
      <c r="S84" s="10"/>
      <c r="T84" s="10"/>
      <c r="U84" s="10"/>
      <c r="V84" s="10"/>
      <c r="W84" s="10"/>
      <c r="X84" s="10"/>
      <c r="Z84" s="10"/>
      <c r="AA84" s="105"/>
    </row>
    <row r="85" spans="1:27" x14ac:dyDescent="0.25">
      <c r="A85" s="100" t="str">
        <f t="shared" si="2"/>
        <v/>
      </c>
      <c r="B85" s="3">
        <f t="shared" si="1"/>
        <v>58</v>
      </c>
      <c r="E85" s="107"/>
      <c r="Q85" s="10"/>
      <c r="R85" s="10"/>
      <c r="S85" s="10"/>
      <c r="T85" s="10"/>
      <c r="U85" s="10"/>
      <c r="V85" s="10"/>
      <c r="W85" s="10"/>
      <c r="X85" s="10"/>
      <c r="Z85" s="10"/>
      <c r="AA85" s="105"/>
    </row>
    <row r="86" spans="1:27" x14ac:dyDescent="0.25">
      <c r="A86" s="100" t="str">
        <f t="shared" si="2"/>
        <v/>
      </c>
      <c r="B86" s="3">
        <f t="shared" si="1"/>
        <v>59</v>
      </c>
      <c r="E86" s="107"/>
      <c r="Q86" s="10"/>
      <c r="R86" s="10"/>
      <c r="S86" s="10"/>
      <c r="T86" s="10"/>
      <c r="U86" s="10"/>
      <c r="V86" s="10"/>
      <c r="W86" s="10"/>
      <c r="X86" s="10"/>
      <c r="Z86" s="10"/>
      <c r="AA86" s="105"/>
    </row>
    <row r="87" spans="1:27" x14ac:dyDescent="0.25">
      <c r="A87" s="100" t="str">
        <f t="shared" si="2"/>
        <v/>
      </c>
      <c r="B87" s="3">
        <f t="shared" si="1"/>
        <v>60</v>
      </c>
      <c r="E87" s="107"/>
      <c r="Q87" s="10"/>
      <c r="R87" s="10"/>
      <c r="S87" s="10"/>
      <c r="T87" s="10"/>
      <c r="U87" s="10"/>
      <c r="V87" s="10"/>
      <c r="W87" s="10"/>
      <c r="X87" s="10"/>
      <c r="Z87" s="10"/>
      <c r="AA87" s="105"/>
    </row>
    <row r="88" spans="1:27" x14ac:dyDescent="0.25">
      <c r="A88" s="100" t="str">
        <f t="shared" si="2"/>
        <v/>
      </c>
      <c r="B88" s="3">
        <f t="shared" si="1"/>
        <v>61</v>
      </c>
      <c r="E88" s="107"/>
      <c r="Q88" s="10"/>
      <c r="R88" s="10"/>
      <c r="S88" s="10"/>
      <c r="T88" s="10"/>
      <c r="U88" s="10"/>
      <c r="V88" s="10"/>
      <c r="W88" s="10"/>
      <c r="X88" s="10"/>
      <c r="Z88" s="10"/>
      <c r="AA88" s="105"/>
    </row>
    <row r="89" spans="1:27" x14ac:dyDescent="0.25">
      <c r="A89" s="100" t="str">
        <f t="shared" si="2"/>
        <v/>
      </c>
      <c r="B89" s="3">
        <f t="shared" si="1"/>
        <v>62</v>
      </c>
      <c r="E89" s="107"/>
      <c r="Q89" s="10"/>
      <c r="R89" s="10"/>
      <c r="S89" s="10"/>
      <c r="T89" s="10"/>
      <c r="U89" s="10"/>
      <c r="V89" s="10"/>
      <c r="W89" s="10"/>
      <c r="X89" s="10"/>
      <c r="Z89" s="10"/>
      <c r="AA89" s="105"/>
    </row>
    <row r="90" spans="1:27" x14ac:dyDescent="0.25">
      <c r="A90" s="100" t="str">
        <f t="shared" si="2"/>
        <v/>
      </c>
      <c r="B90" s="3">
        <f t="shared" si="1"/>
        <v>63</v>
      </c>
      <c r="E90" s="107"/>
      <c r="Q90" s="10"/>
      <c r="R90" s="10"/>
      <c r="S90" s="10"/>
      <c r="T90" s="10"/>
      <c r="U90" s="10"/>
      <c r="V90" s="10"/>
      <c r="W90" s="10"/>
      <c r="X90" s="10"/>
      <c r="Z90" s="10"/>
      <c r="AA90" s="105"/>
    </row>
    <row r="91" spans="1:27" x14ac:dyDescent="0.25">
      <c r="A91" s="100" t="str">
        <f t="shared" si="2"/>
        <v/>
      </c>
      <c r="B91" s="3">
        <f t="shared" si="1"/>
        <v>64</v>
      </c>
      <c r="E91" s="107"/>
      <c r="Q91" s="10"/>
      <c r="R91" s="10"/>
      <c r="S91" s="10"/>
      <c r="U91" s="10"/>
      <c r="V91" s="10"/>
      <c r="W91" s="10"/>
      <c r="X91" s="10"/>
      <c r="Y91" s="10"/>
      <c r="Z91" s="10"/>
      <c r="AA91" s="105"/>
    </row>
    <row r="92" spans="1:27" x14ac:dyDescent="0.25">
      <c r="A92" s="100" t="str">
        <f t="shared" ref="A92:A100" si="3">IF(AA92="","",D92&amp;"_"&amp;E92&amp;IF(F92="","","_"&amp;F92))</f>
        <v/>
      </c>
      <c r="B92" s="3">
        <f t="shared" si="1"/>
        <v>65</v>
      </c>
      <c r="E92" s="107"/>
      <c r="Q92" s="10"/>
      <c r="R92" s="10"/>
      <c r="S92" s="10"/>
      <c r="U92" s="10"/>
      <c r="V92" s="10"/>
      <c r="W92" s="10"/>
      <c r="X92" s="10"/>
      <c r="Y92" s="10"/>
      <c r="Z92" s="10"/>
      <c r="AA92" s="105"/>
    </row>
    <row r="93" spans="1:27" x14ac:dyDescent="0.25">
      <c r="A93" s="100" t="str">
        <f t="shared" si="3"/>
        <v/>
      </c>
      <c r="B93" s="3">
        <f t="shared" si="1"/>
        <v>66</v>
      </c>
      <c r="E93" s="107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5"/>
    </row>
    <row r="94" spans="1:27" x14ac:dyDescent="0.25">
      <c r="A94" s="100" t="str">
        <f t="shared" si="3"/>
        <v/>
      </c>
      <c r="B94" s="3">
        <f t="shared" si="1"/>
        <v>67</v>
      </c>
      <c r="E94" s="107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5"/>
    </row>
    <row r="95" spans="1:27" x14ac:dyDescent="0.25">
      <c r="A95" s="100" t="str">
        <f t="shared" si="3"/>
        <v/>
      </c>
      <c r="B95" s="3">
        <f t="shared" si="1"/>
        <v>68</v>
      </c>
      <c r="E95" s="107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5"/>
    </row>
    <row r="96" spans="1:27" x14ac:dyDescent="0.25">
      <c r="A96" s="100" t="str">
        <f t="shared" si="3"/>
        <v/>
      </c>
      <c r="B96" s="3">
        <f t="shared" si="1"/>
        <v>69</v>
      </c>
      <c r="E96" s="107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5"/>
    </row>
    <row r="97" spans="1:27" x14ac:dyDescent="0.25">
      <c r="A97" s="100" t="str">
        <f t="shared" si="3"/>
        <v/>
      </c>
      <c r="B97" s="3">
        <f t="shared" ref="B97:B99" si="4">B96+1</f>
        <v>70</v>
      </c>
      <c r="E97" s="107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5"/>
    </row>
    <row r="98" spans="1:27" x14ac:dyDescent="0.25">
      <c r="A98" s="100" t="str">
        <f t="shared" si="3"/>
        <v/>
      </c>
      <c r="B98" s="3">
        <f t="shared" si="4"/>
        <v>71</v>
      </c>
      <c r="E98" s="107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5"/>
    </row>
    <row r="99" spans="1:27" x14ac:dyDescent="0.25">
      <c r="A99" s="100" t="str">
        <f t="shared" si="3"/>
        <v/>
      </c>
      <c r="B99" s="3">
        <f t="shared" si="4"/>
        <v>72</v>
      </c>
      <c r="E99" s="107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5"/>
    </row>
    <row r="100" spans="1:27" s="2" customFormat="1" ht="15.75" thickBot="1" x14ac:dyDescent="0.3">
      <c r="A100" s="101" t="str">
        <f t="shared" si="3"/>
        <v/>
      </c>
      <c r="B100" s="12"/>
      <c r="D100" s="12"/>
      <c r="E100" s="12"/>
      <c r="F100" s="12"/>
      <c r="H100" s="12"/>
      <c r="I100" s="12"/>
      <c r="J100" s="12"/>
      <c r="K100" s="12"/>
      <c r="L100" s="12"/>
      <c r="N100" s="12"/>
      <c r="O100" s="22"/>
      <c r="P100" s="22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106"/>
    </row>
    <row r="109" spans="1:27" ht="15" customHeight="1" x14ac:dyDescent="0.25">
      <c r="O109" s="13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"&amp;parser!F30&amp;"
"&amp;parser!F31&amp;"
"&amp;IF(parser!D33=TRUE,parser!F32,)&amp;"
"&amp;IF(parser!D34=TRUE,parser!F39,)&amp;"
"&amp;IF(parser!D35=TRUE,parser!F48,)&amp;"
"&amp;IF(parser!D36=TRUE,parser!F57,)&amp;"
"&amp;IF(parser!D37=TRUE,parser!F67,)&amp;"
"&amp;IF(parser!D38=TRUE,parser!F76,)&amp;"
"&amp;parser!F86</f>
        <v>&lt;?xml version='1.0' encoding='cp1252'?&gt;
&lt;fdmmaterial xmlns="http://www.ultimaker.com/material"&gt;
  &lt;metadata&gt;
    &lt;name&gt;
            &lt;brand&gt;NinjaTek&lt;/brand&gt;
            &lt;material&gt;Ninjaflex&lt;/material&gt;
            &lt;color&gt;black&lt;/color&gt;
            &lt;label&gt;Ninjaflex black&lt;/label&gt;
    &lt;/name&gt;
    &lt;color_code&gt;#2d2d2d&lt;/color_code&gt;
    &lt;description&gt;Top/bottom speed 15mm/s&lt;/description&gt;
    &lt;GUID&gt;SelfMat_16_Nin_Nin_#2d2d2d&lt;/GUID&gt;
    &lt;version&gt;1&lt;/version&gt;
    &lt;adhesion_info&gt;print speed: 25 / layer height: 0.1 / retraction: false&lt;/adhesion_info&gt;
  &lt;/metadata&gt;
  &lt;properties&gt;
            &lt;density&gt;1.240&lt;/density&gt;
            &lt;diameter&gt;2.85&lt;/diameter&gt;
  &lt;/properties&gt;
  &lt;settings&gt;
            &lt;setting key="heated bed temperature"&gt;45&lt;/setting&gt;
            &lt;setting key="print cooling"&gt;80&lt;/setting&gt;
            &lt;setting key="standby temperature"&gt;170&lt;/setting&gt;
            &lt;setting key="print temperature"&gt;225&lt;/setting&gt;
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110" spans="1:27" x14ac:dyDescent="0.25">
      <c r="O110" s="13"/>
    </row>
    <row r="111" spans="1:27" x14ac:dyDescent="0.25">
      <c r="O111" s="13"/>
    </row>
    <row r="112" spans="1:27" x14ac:dyDescent="0.25">
      <c r="O112" s="13"/>
    </row>
    <row r="113" spans="15:15" x14ac:dyDescent="0.25">
      <c r="O113" s="13"/>
    </row>
    <row r="114" spans="15:15" x14ac:dyDescent="0.25">
      <c r="O114" s="13"/>
    </row>
    <row r="115" spans="15:15" x14ac:dyDescent="0.25">
      <c r="O115" s="13"/>
    </row>
    <row r="116" spans="15:15" x14ac:dyDescent="0.25">
      <c r="O116" s="13"/>
    </row>
    <row r="117" spans="15:15" x14ac:dyDescent="0.25">
      <c r="O117" s="13"/>
    </row>
    <row r="118" spans="15:15" x14ac:dyDescent="0.25">
      <c r="O118" s="13"/>
    </row>
    <row r="119" spans="15:15" x14ac:dyDescent="0.25">
      <c r="O119" s="13"/>
    </row>
    <row r="120" spans="15:15" x14ac:dyDescent="0.25">
      <c r="O120" s="13"/>
    </row>
    <row r="121" spans="15:15" x14ac:dyDescent="0.25">
      <c r="O121" s="13"/>
    </row>
    <row r="122" spans="15:15" x14ac:dyDescent="0.25">
      <c r="O122" s="13"/>
    </row>
    <row r="123" spans="15:15" x14ac:dyDescent="0.25">
      <c r="O123" s="13"/>
    </row>
    <row r="124" spans="15:15" x14ac:dyDescent="0.25">
      <c r="O124" s="13"/>
    </row>
    <row r="125" spans="15:15" x14ac:dyDescent="0.25">
      <c r="O125" s="13"/>
    </row>
    <row r="126" spans="15:15" x14ac:dyDescent="0.25">
      <c r="O126" s="13"/>
    </row>
    <row r="127" spans="15:15" x14ac:dyDescent="0.25">
      <c r="O127" s="13"/>
    </row>
    <row r="128" spans="15:15" x14ac:dyDescent="0.25">
      <c r="O128" s="13"/>
    </row>
    <row r="129" spans="15:15" x14ac:dyDescent="0.25">
      <c r="O129" s="13"/>
    </row>
    <row r="130" spans="15:15" x14ac:dyDescent="0.25">
      <c r="O130" s="13"/>
    </row>
    <row r="131" spans="15:15" x14ac:dyDescent="0.25">
      <c r="O131" s="13"/>
    </row>
    <row r="132" spans="15:15" x14ac:dyDescent="0.25">
      <c r="O132" s="13"/>
    </row>
    <row r="133" spans="15:15" x14ac:dyDescent="0.25">
      <c r="O133" s="13"/>
    </row>
    <row r="134" spans="15:15" x14ac:dyDescent="0.25">
      <c r="O134" s="13"/>
    </row>
    <row r="135" spans="15:15" x14ac:dyDescent="0.25">
      <c r="O135" s="13"/>
    </row>
    <row r="136" spans="15:15" x14ac:dyDescent="0.25">
      <c r="O136" s="13"/>
    </row>
    <row r="137" spans="15:15" x14ac:dyDescent="0.25">
      <c r="O137" s="13"/>
    </row>
    <row r="138" spans="15:15" x14ac:dyDescent="0.25">
      <c r="O138" s="13"/>
    </row>
    <row r="139" spans="15:15" x14ac:dyDescent="0.25">
      <c r="O139" s="13"/>
    </row>
    <row r="140" spans="15:15" x14ac:dyDescent="0.25">
      <c r="O140" s="13"/>
    </row>
    <row r="141" spans="15:15" x14ac:dyDescent="0.25">
      <c r="O141" s="13"/>
    </row>
    <row r="142" spans="15:15" x14ac:dyDescent="0.25">
      <c r="O142" s="13"/>
    </row>
    <row r="143" spans="15:15" x14ac:dyDescent="0.25">
      <c r="O143" s="13"/>
    </row>
    <row r="144" spans="15:15" x14ac:dyDescent="0.25">
      <c r="O144" s="13"/>
    </row>
    <row r="145" spans="15:15" x14ac:dyDescent="0.25">
      <c r="O145" s="13"/>
    </row>
    <row r="146" spans="15:15" x14ac:dyDescent="0.25">
      <c r="O146" s="13"/>
    </row>
    <row r="147" spans="15:15" x14ac:dyDescent="0.25">
      <c r="O147" s="13"/>
    </row>
    <row r="148" spans="15:15" x14ac:dyDescent="0.25">
      <c r="O148" s="13"/>
    </row>
    <row r="149" spans="15:15" x14ac:dyDescent="0.25">
      <c r="O149" s="13"/>
    </row>
    <row r="150" spans="15:15" x14ac:dyDescent="0.25">
      <c r="O150" s="13"/>
    </row>
    <row r="151" spans="15:15" x14ac:dyDescent="0.25">
      <c r="O151" s="13"/>
    </row>
    <row r="152" spans="15:15" x14ac:dyDescent="0.25">
      <c r="O152" s="13"/>
    </row>
    <row r="153" spans="15:15" x14ac:dyDescent="0.25">
      <c r="O153" s="13"/>
    </row>
    <row r="154" spans="15:15" x14ac:dyDescent="0.25">
      <c r="O154" s="13"/>
    </row>
    <row r="155" spans="15:15" x14ac:dyDescent="0.25">
      <c r="O155" s="13"/>
    </row>
    <row r="156" spans="15:15" x14ac:dyDescent="0.25">
      <c r="O156" s="13"/>
    </row>
    <row r="157" spans="15:15" x14ac:dyDescent="0.25">
      <c r="O157" s="13"/>
    </row>
    <row r="158" spans="15:15" x14ac:dyDescent="0.25">
      <c r="O158" s="13"/>
    </row>
    <row r="159" spans="15:15" x14ac:dyDescent="0.25">
      <c r="O159" s="13"/>
    </row>
    <row r="160" spans="15:15" x14ac:dyDescent="0.25">
      <c r="O160" s="13"/>
    </row>
    <row r="161" spans="15:15" x14ac:dyDescent="0.25">
      <c r="O161" s="13"/>
    </row>
    <row r="162" spans="15:15" x14ac:dyDescent="0.25">
      <c r="O162" s="13"/>
    </row>
    <row r="163" spans="15:15" x14ac:dyDescent="0.25">
      <c r="O163" s="13"/>
    </row>
    <row r="164" spans="15:15" x14ac:dyDescent="0.25">
      <c r="O164" s="13"/>
    </row>
    <row r="165" spans="15:15" x14ac:dyDescent="0.25">
      <c r="O165" s="13"/>
    </row>
    <row r="166" spans="15:15" x14ac:dyDescent="0.25">
      <c r="O166" s="13"/>
    </row>
    <row r="167" spans="15:15" x14ac:dyDescent="0.25">
      <c r="O167" s="13"/>
    </row>
    <row r="168" spans="15:15" x14ac:dyDescent="0.25">
      <c r="O168" s="13"/>
    </row>
    <row r="169" spans="15:15" x14ac:dyDescent="0.25">
      <c r="O169" s="13"/>
    </row>
    <row r="170" spans="15:15" x14ac:dyDescent="0.25">
      <c r="O170" s="13"/>
    </row>
    <row r="171" spans="15:15" x14ac:dyDescent="0.25">
      <c r="O171" s="13"/>
    </row>
    <row r="172" spans="15:15" x14ac:dyDescent="0.25">
      <c r="O172" s="13"/>
    </row>
    <row r="173" spans="15:15" x14ac:dyDescent="0.25">
      <c r="O173" s="13"/>
    </row>
    <row r="174" spans="15:15" x14ac:dyDescent="0.25">
      <c r="O174" s="13"/>
    </row>
    <row r="175" spans="15:15" x14ac:dyDescent="0.25">
      <c r="O175" s="13"/>
    </row>
    <row r="176" spans="15:15" x14ac:dyDescent="0.25">
      <c r="O176" s="13"/>
    </row>
    <row r="177" spans="15:15" x14ac:dyDescent="0.25">
      <c r="O177" s="13"/>
    </row>
    <row r="178" spans="15:15" x14ac:dyDescent="0.25">
      <c r="O178" s="13"/>
    </row>
    <row r="179" spans="15:15" x14ac:dyDescent="0.25">
      <c r="O179" s="13"/>
    </row>
    <row r="180" spans="15:15" x14ac:dyDescent="0.25">
      <c r="O180" s="13"/>
    </row>
    <row r="181" spans="15:15" x14ac:dyDescent="0.25">
      <c r="O181" s="13"/>
    </row>
    <row r="182" spans="15:15" x14ac:dyDescent="0.25">
      <c r="O182" s="13"/>
    </row>
    <row r="183" spans="15:15" x14ac:dyDescent="0.25">
      <c r="O183" s="13"/>
    </row>
    <row r="184" spans="15:15" x14ac:dyDescent="0.25">
      <c r="O184" s="13"/>
    </row>
    <row r="185" spans="15:15" x14ac:dyDescent="0.25">
      <c r="O185" s="13"/>
    </row>
    <row r="186" spans="15:15" x14ac:dyDescent="0.25">
      <c r="O186" s="13"/>
    </row>
    <row r="187" spans="15:15" x14ac:dyDescent="0.25">
      <c r="O187" s="13"/>
    </row>
    <row r="188" spans="15:15" x14ac:dyDescent="0.25">
      <c r="O188" s="13"/>
    </row>
    <row r="189" spans="15:15" x14ac:dyDescent="0.25">
      <c r="O189" s="13"/>
    </row>
    <row r="190" spans="15:15" x14ac:dyDescent="0.25">
      <c r="O190" s="13"/>
    </row>
  </sheetData>
  <autoFilter ref="C27:G100"/>
  <sortState ref="C28:AA74">
    <sortCondition ref="D28:D74"/>
  </sortState>
  <mergeCells count="6">
    <mergeCell ref="C2:E2"/>
    <mergeCell ref="O26:Z26"/>
    <mergeCell ref="D3:F23"/>
    <mergeCell ref="C26:G26"/>
    <mergeCell ref="C3:C23"/>
    <mergeCell ref="H26:L26"/>
  </mergeCells>
  <conditionalFormatting sqref="O28:O52 O54:O100">
    <cfRule type="expression" dxfId="2" priority="3">
      <formula>O28&gt;249</formula>
    </cfRule>
  </conditionalFormatting>
  <conditionalFormatting sqref="O53">
    <cfRule type="expression" dxfId="1" priority="2">
      <formula>O53&gt;250</formula>
    </cfRule>
  </conditionalFormatting>
  <conditionalFormatting sqref="E28:E99">
    <cfRule type="expression" dxfId="0" priority="1">
      <formula>AA28="y"</formula>
    </cfRule>
  </conditionalFormatting>
  <dataValidations count="1">
    <dataValidation type="list" allowBlank="1" showInputMessage="1" showErrorMessage="1" sqref="C2">
      <formula1>$A$28:$A$52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material">
                <anchor moveWithCells="1" sizeWithCells="1">
                  <from>
                    <xdr:col>5</xdr:col>
                    <xdr:colOff>57150</xdr:colOff>
                    <xdr:row>1</xdr:row>
                    <xdr:rowOff>28575</xdr:rowOff>
                  </from>
                  <to>
                    <xdr:col>5</xdr:col>
                    <xdr:colOff>1047750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6</xdr:col>
                    <xdr:colOff>1533525</xdr:colOff>
                    <xdr:row>2</xdr:row>
                    <xdr:rowOff>133350</xdr:rowOff>
                  </from>
                  <to>
                    <xdr:col>6</xdr:col>
                    <xdr:colOff>1781175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6</xdr:col>
                    <xdr:colOff>1533525</xdr:colOff>
                    <xdr:row>3</xdr:row>
                    <xdr:rowOff>133350</xdr:rowOff>
                  </from>
                  <to>
                    <xdr:col>6</xdr:col>
                    <xdr:colOff>1781175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6</xdr:col>
                    <xdr:colOff>1533525</xdr:colOff>
                    <xdr:row>4</xdr:row>
                    <xdr:rowOff>133350</xdr:rowOff>
                  </from>
                  <to>
                    <xdr:col>6</xdr:col>
                    <xdr:colOff>1781175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6</xdr:col>
                    <xdr:colOff>1533525</xdr:colOff>
                    <xdr:row>5</xdr:row>
                    <xdr:rowOff>133350</xdr:rowOff>
                  </from>
                  <to>
                    <xdr:col>6</xdr:col>
                    <xdr:colOff>1781175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6</xdr:col>
                    <xdr:colOff>1533525</xdr:colOff>
                    <xdr:row>6</xdr:row>
                    <xdr:rowOff>133350</xdr:rowOff>
                  </from>
                  <to>
                    <xdr:col>6</xdr:col>
                    <xdr:colOff>1781175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6</xdr:col>
                    <xdr:colOff>1533525</xdr:colOff>
                    <xdr:row>7</xdr:row>
                    <xdr:rowOff>133350</xdr:rowOff>
                  </from>
                  <to>
                    <xdr:col>6</xdr:col>
                    <xdr:colOff>1781175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parser!$A$42:$A$49</xm:f>
          </x14:formula1>
          <xm:sqref>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K87"/>
  <sheetViews>
    <sheetView tabSelected="1" topLeftCell="D4" zoomScaleNormal="100" workbookViewId="0">
      <selection activeCell="D44" sqref="D44"/>
    </sheetView>
  </sheetViews>
  <sheetFormatPr baseColWidth="10" defaultRowHeight="15" x14ac:dyDescent="0.25"/>
  <cols>
    <col min="1" max="1" width="17" customWidth="1"/>
    <col min="3" max="3" width="46.7109375" customWidth="1"/>
    <col min="4" max="4" width="32.85546875" customWidth="1"/>
    <col min="5" max="5" width="5.28515625" customWidth="1"/>
    <col min="6" max="6" width="104.5703125" customWidth="1"/>
    <col min="7" max="7" width="4.42578125" customWidth="1"/>
    <col min="8" max="8" width="82.5703125" bestFit="1" customWidth="1"/>
  </cols>
  <sheetData>
    <row r="1" spans="1:11" x14ac:dyDescent="0.25">
      <c r="C1" t="s">
        <v>71</v>
      </c>
      <c r="D1" s="41" t="s">
        <v>81</v>
      </c>
    </row>
    <row r="2" spans="1:11" ht="15.75" thickBot="1" x14ac:dyDescent="0.3">
      <c r="D2" s="41"/>
      <c r="F2" s="1" t="s">
        <v>208</v>
      </c>
      <c r="H2" s="1" t="s">
        <v>207</v>
      </c>
    </row>
    <row r="3" spans="1:11" ht="15" customHeight="1" thickBot="1" x14ac:dyDescent="0.3">
      <c r="A3" s="32" t="s">
        <v>100</v>
      </c>
      <c r="B3" s="43" t="s">
        <v>230</v>
      </c>
      <c r="C3" s="33" t="str">
        <f>IF(VLOOKUP(material_data!C2,material_data!$A$27:'material_data'!$Z101,13,FALSE)="","","adhesion: "&amp;VLOOKUP(material_data!C2,material_data!$A$27:'material_data'!$Z101,13,FALSE)&amp;(IF(OR(C4&gt;"",C5&gt;"",C6&gt;"",C7&gt;"")," / ","")))</f>
        <v/>
      </c>
      <c r="D3" s="41" t="s">
        <v>231</v>
      </c>
      <c r="F3" s="157" t="s">
        <v>82</v>
      </c>
      <c r="G3" s="110"/>
      <c r="H3" s="156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"&amp;parser!F29&amp;"
"&amp;parser!F25&amp;"
"&amp;parser!F26&amp;"
"&amp;parser!F27&amp;"
"&amp;parser!F28&amp;"
"&amp;parser!F30&amp;"
"&amp;parser!F31&amp;IF(parser!D33=TRUE,parser!F32&amp;parser!D39,)&amp;IF(parser!D34=TRUE,parser!F39&amp;parser!D39,)&amp;IF(parser!D35=TRUE,parser!F48&amp;parser!D39,)&amp;IF(parser!D36=TRUE,parser!F57&amp;parser!D39,)&amp;IF(parser!D37=TRUE,parser!F67&amp;parser!D39,)&amp;IF(parser!D38=TRUE,parser!F76&amp;parser!D39,)&amp;parser!F86</f>
        <v>&lt;?xml version='1.0' encoding='cp1252'?&gt;
&lt;fdmmaterial xmlns="http://www.ultimaker.com/material"&gt;
  &lt;metadata&gt;
    &lt;name&gt;
            &lt;brand&gt;NinjaTek&lt;/brand&gt;
            &lt;material&gt;Ninjaflex&lt;/material&gt;
            &lt;color&gt;black&lt;/color&gt;
            &lt;label&gt;Ninjaflex black&lt;/label&gt;
    &lt;/name&gt;
    &lt;color_code&gt;#2d2d2d&lt;/color_code&gt;
    &lt;description&gt;Top/bottom speed 15mm/s&lt;/description&gt;
    &lt;GUID&gt;SelfMat_16_Nin_Nin_#2d2d2d&lt;/GUID&gt;
    &lt;version&gt;1&lt;/version&gt;
    &lt;adhesion_info&gt;print speed: 25 / layer height: 0.1 / retraction: false&lt;/adhesion_info&gt;
  &lt;/metadata&gt;
  &lt;properties&gt;
            &lt;density&gt;1.240&lt;/density&gt;
            &lt;diameter&gt;2.85&lt;/diameter&gt;
  &lt;/properties&gt;
  &lt;settings&gt;
            &lt;setting key="heated bed temperature"&gt;45&lt;/setting&gt;
            &lt;setting key="print cooling"&gt;80&lt;/setting&gt;
            &lt;setting key="standby temperature"&gt;170&lt;/setting&gt;
            &lt;setting key=retraction_enable&gt;false&lt;/setting&gt;
            &lt;setting key="print temperature"&gt;225&lt;/setting&gt;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4" spans="1:11" x14ac:dyDescent="0.25">
      <c r="B4" s="43" t="s">
        <v>95</v>
      </c>
      <c r="C4" s="33" t="str">
        <f>IF(VLOOKUP(material_data!C2,material_data!$A$27:'material_data'!$Z101,23,FALSE)="","","material flow: "&amp;VLOOKUP(material_data!C2,material_data!$A$27:'material_data'!$Z101,23,FALSE)&amp;(IF(OR(C5&gt;"",C6&gt;"",C7&gt;"")," / ","")))</f>
        <v/>
      </c>
      <c r="D4" s="41"/>
      <c r="F4" s="158"/>
      <c r="G4" s="111"/>
      <c r="H4" s="156"/>
    </row>
    <row r="5" spans="1:11" x14ac:dyDescent="0.25">
      <c r="A5" s="34"/>
      <c r="B5" s="42" t="s">
        <v>96</v>
      </c>
      <c r="C5" s="35" t="str">
        <f>IF(VLOOKUP(material_data!C2,material_data!$A$27:'material_data'!$Z101,24,FALSE)="","","print speed: "&amp;VLOOKUP(material_data!C2,material_data!$A$27:'material_data'!$Z101,24,FALSE)&amp;(IF(OR(C6&gt;"",C7&gt;"")," / ","")))</f>
        <v xml:space="preserve">print speed: 25 / </v>
      </c>
      <c r="D5" s="41"/>
      <c r="F5" s="158"/>
      <c r="G5" s="111"/>
      <c r="H5" s="156"/>
    </row>
    <row r="6" spans="1:11" x14ac:dyDescent="0.25">
      <c r="A6" s="34"/>
      <c r="B6" s="42" t="s">
        <v>94</v>
      </c>
      <c r="C6" s="44" t="str">
        <f>IF(VLOOKUP(material_data!C2,material_data!$A$27:'material_data'!$Z101,25,FALSE)="","","layer height: "&amp;VLOOKUP(material_data!C2,material_data!$A$27:'material_data'!$Z101,25,FALSE)&amp;IF(C7&gt;""," / ",""))</f>
        <v xml:space="preserve">layer height: 0.1 / </v>
      </c>
      <c r="D6" s="41"/>
      <c r="F6" s="158"/>
      <c r="G6" s="111"/>
      <c r="H6" s="156"/>
    </row>
    <row r="7" spans="1:11" ht="15.75" thickBot="1" x14ac:dyDescent="0.3">
      <c r="A7" s="36"/>
      <c r="B7" s="45" t="s">
        <v>102</v>
      </c>
      <c r="C7" s="46" t="str">
        <f>IF(VLOOKUP(material_data!C2,material_data!$A$27:'material_data'!$Z101,19,FALSE)="","","retraction: "&amp;VLOOKUP(material_data!C2,material_data!$A$27:'material_data'!$Z101,19,FALSE))</f>
        <v>retraction: false</v>
      </c>
      <c r="D7" s="26" t="str">
        <f>IF(VLOOKUP(material_data!C2,material_data!$A$27:'material_data'!$Z101,4,FALSE)="","",VLOOKUP(material_data!C2,material_data!$A$27:'material_data'!$Z101,4,FALSE))</f>
        <v>NinjaTek</v>
      </c>
      <c r="F7" t="str">
        <f>"            &lt;brand&gt;"&amp;D7&amp;"&lt;/brand&gt;"</f>
        <v xml:space="preserve">            &lt;brand&gt;NinjaTek&lt;/brand&gt;</v>
      </c>
      <c r="H7" s="156"/>
      <c r="K7" s="28"/>
    </row>
    <row r="8" spans="1:11" x14ac:dyDescent="0.25">
      <c r="D8" s="26" t="str">
        <f>IF(VLOOKUP(material_data!C2,material_data!$A$27:'material_data'!$Z101,5,FALSE)="","",VLOOKUP(material_data!C2,material_data!$A$27:'material_data'!$Z101,5,FALSE))</f>
        <v>Ninjaflex</v>
      </c>
      <c r="F8" t="str">
        <f>"            &lt;material&gt;"&amp;D8&amp;"&lt;/material&gt;"</f>
        <v xml:space="preserve">            &lt;material&gt;Ninjaflex&lt;/material&gt;</v>
      </c>
      <c r="H8" s="156"/>
    </row>
    <row r="9" spans="1:11" x14ac:dyDescent="0.25">
      <c r="D9" s="26" t="str">
        <f>IF(VLOOKUP(material_data!C2,material_data!$A$27:'material_data'!$Z101,6,FALSE)="","",VLOOKUP(material_data!C2,material_data!$A$27:'material_data'!$Z101,6,FALSE))</f>
        <v>black</v>
      </c>
      <c r="F9" t="str">
        <f>"            &lt;color&gt;"&amp;D9&amp;"&lt;/color&gt;"</f>
        <v xml:space="preserve">            &lt;color&gt;black&lt;/color&gt;</v>
      </c>
      <c r="H9" s="156"/>
    </row>
    <row r="10" spans="1:11" x14ac:dyDescent="0.25">
      <c r="D10" s="26" t="str">
        <f>IF(VLOOKUP(material_data!C2,material_data!$A$27:'material_data'!$Z101,5,FALSE)="","",VLOOKUP(material_data!C2,material_data!$A$27:'material_data'!$Z101,5,FALSE)&amp;" "&amp;VLOOKUP(material_data!C2,material_data!$A$27:'material_data'!$Z101,6,FALSE))</f>
        <v>Ninjaflex black</v>
      </c>
      <c r="F10" t="str">
        <f>"            &lt;label&gt;"&amp;D10&amp;"&lt;/label&gt;"</f>
        <v xml:space="preserve">            &lt;label&gt;Ninjaflex black&lt;/label&gt;</v>
      </c>
      <c r="H10" s="156"/>
    </row>
    <row r="11" spans="1:11" x14ac:dyDescent="0.25">
      <c r="D11" s="41"/>
      <c r="F11" t="s">
        <v>75</v>
      </c>
      <c r="H11" s="156"/>
    </row>
    <row r="12" spans="1:11" x14ac:dyDescent="0.25">
      <c r="A12" t="s">
        <v>1</v>
      </c>
      <c r="D12" s="26" t="str">
        <f>IF(VLOOKUP(material_data!C2,material_data!$A$27:'material_data'!$Z101,3,FALSE)="","",VLOOKUP(material_data!C2,material_data!$A$27:'material_data'!$Z101,3,FALSE))</f>
        <v>#2d2d2d</v>
      </c>
      <c r="F12" t="str">
        <f>"    &lt;color_code&gt;"&amp;D12&amp;"&lt;/color_code&gt;"</f>
        <v xml:space="preserve">    &lt;color_code&gt;#2d2d2d&lt;/color_code&gt;</v>
      </c>
      <c r="H12" s="156"/>
    </row>
    <row r="13" spans="1:11" x14ac:dyDescent="0.25">
      <c r="A13" t="s">
        <v>114</v>
      </c>
      <c r="D13" s="26" t="str">
        <f>IF(VLOOKUP(material_data!C2,material_data!$A$27:'material_data'!$Z101,14,FALSE)="","t.b.d.",VLOOKUP(material_data!C2,material_data!$A$27:'material_data'!$Z101,14,FALSE))</f>
        <v>Top/bottom speed 15mm/s</v>
      </c>
      <c r="F13" t="str">
        <f>"    &lt;description&gt;"&amp;D13&amp;"&lt;/description&gt;"</f>
        <v xml:space="preserve">    &lt;description&gt;Top/bottom speed 15mm/s&lt;/description&gt;</v>
      </c>
      <c r="H13" s="156"/>
    </row>
    <row r="14" spans="1:11" x14ac:dyDescent="0.25">
      <c r="A14" t="s">
        <v>206</v>
      </c>
      <c r="D14" s="26" t="str">
        <f>"SelfMat_"&amp;(IF(VLOOKUP(material_data!C2,material_data!$A$27:'material_data'!$Z101,2,FALSE)="","",(VLOOKUP(material_data!C2,material_data!$A$27:'material_data'!$Z101,2,FALSE))))&amp;"_"
&amp;(IF(VLOOKUP(material_data!C2,material_data!$A$27:'material_data'!$Z101,4,FALSE)="","",LEFT((VLOOKUP(material_data!C2,material_data!$A$27:'material_data'!$Z101,4,FALSE)),3)))&amp;"_"
&amp;(IF(VLOOKUP(material_data!C2,material_data!$A$27:'material_data'!$Z101,5,FALSE)="","",LEFT((VLOOKUP(material_data!C2,material_data!$A$27:'material_data'!$Z101,5,FALSE)),3)))&amp;"_"
&amp;(IF(VLOOKUP(material_data!C2,material_data!$A$27:'material_data'!$Z101,3,FALSE)="","",(VLOOKUP(material_data!C2,material_data!$A$27:'material_data'!$Z101,3,FALSE))))</f>
        <v>SelfMat_16_Nin_Nin_#2d2d2d</v>
      </c>
      <c r="F14" t="str">
        <f>"    &lt;GUID&gt;"&amp;D14&amp;"&lt;/GUID&gt;"</f>
        <v xml:space="preserve">    &lt;GUID&gt;SelfMat_16_Nin_Nin_#2d2d2d&lt;/GUID&gt;</v>
      </c>
      <c r="H14" s="156"/>
    </row>
    <row r="15" spans="1:11" x14ac:dyDescent="0.25">
      <c r="D15" s="41"/>
      <c r="F15" t="s">
        <v>76</v>
      </c>
      <c r="H15" s="156"/>
    </row>
    <row r="16" spans="1:11" x14ac:dyDescent="0.25">
      <c r="D16" s="26" t="str">
        <f>C3&amp;C4&amp;C5&amp;C6&amp;C7</f>
        <v>print speed: 25 / layer height: 0.1 / retraction: false</v>
      </c>
      <c r="F16" t="str">
        <f>"    &lt;adhesion_info&gt;"&amp;D16&amp;"&lt;/adhesion_info&gt;"</f>
        <v xml:space="preserve">    &lt;adhesion_info&gt;print speed: 25 / layer height: 0.1 / retraction: false&lt;/adhesion_info&gt;</v>
      </c>
      <c r="H16" s="156"/>
    </row>
    <row r="17" spans="1:8" x14ac:dyDescent="0.25">
      <c r="D17" s="41"/>
      <c r="F17" t="s">
        <v>77</v>
      </c>
      <c r="H17" s="156"/>
    </row>
    <row r="18" spans="1:8" x14ac:dyDescent="0.25">
      <c r="D18" s="41"/>
      <c r="F18" t="s">
        <v>78</v>
      </c>
      <c r="H18" s="156"/>
    </row>
    <row r="19" spans="1:8" x14ac:dyDescent="0.25">
      <c r="A19" t="s">
        <v>101</v>
      </c>
      <c r="B19" s="37" t="s">
        <v>108</v>
      </c>
      <c r="D19" s="115" t="str">
        <f>IF(VLOOKUP(material_data!C2,material_data!$A$27:'material_data'!$Z101,22,FALSE)="",B19,VLOOKUP(material_data!C2,material_data!$A$27:'material_data'!$Z101,22,FALSE))</f>
        <v>1.240</v>
      </c>
      <c r="F19" t="str">
        <f>"            &lt;density&gt;"&amp;D19&amp;"&lt;/density&gt;"</f>
        <v xml:space="preserve">            &lt;density&gt;1.240&lt;/density&gt;</v>
      </c>
      <c r="H19" s="156"/>
    </row>
    <row r="20" spans="1:8" x14ac:dyDescent="0.25">
      <c r="A20" t="s">
        <v>101</v>
      </c>
      <c r="B20" s="37" t="s">
        <v>70</v>
      </c>
      <c r="D20" s="116" t="str">
        <f>B20</f>
        <v>2.85</v>
      </c>
      <c r="F20" t="str">
        <f>"            &lt;diameter&gt;"&amp;D20&amp;"&lt;/diameter&gt;"</f>
        <v xml:space="preserve">            &lt;diameter&gt;2.85&lt;/diameter&gt;</v>
      </c>
      <c r="H20" s="156"/>
    </row>
    <row r="21" spans="1:8" x14ac:dyDescent="0.25">
      <c r="D21" s="117"/>
      <c r="F21" t="s">
        <v>79</v>
      </c>
      <c r="H21" s="156"/>
    </row>
    <row r="22" spans="1:8" x14ac:dyDescent="0.25">
      <c r="D22" s="117"/>
      <c r="F22" t="s">
        <v>80</v>
      </c>
      <c r="H22" s="156"/>
    </row>
    <row r="23" spans="1:8" x14ac:dyDescent="0.25">
      <c r="D23" s="117"/>
      <c r="H23" s="156"/>
    </row>
    <row r="24" spans="1:8" x14ac:dyDescent="0.25">
      <c r="H24" s="156"/>
    </row>
    <row r="25" spans="1:8" x14ac:dyDescent="0.25">
      <c r="A25" t="s">
        <v>101</v>
      </c>
      <c r="B25" s="37">
        <v>55</v>
      </c>
      <c r="D25" s="118">
        <f>IF(VLOOKUP(material_data!C2,material_data!$A$27:'material_data'!$Z101,17,FALSE)="",B25,VLOOKUP(material_data!C2,material_data!$A$27:'material_data'!$Z101,17,FALSE))</f>
        <v>45</v>
      </c>
      <c r="F25" t="str">
        <f>"            &lt;setting key="&amp;D1&amp;"heated bed temperature"&amp;D1&amp;"&gt;"&amp;D25&amp;"&lt;/setting&gt;"</f>
        <v xml:space="preserve">            &lt;setting key="heated bed temperature"&gt;45&lt;/setting&gt;</v>
      </c>
      <c r="H25" s="156"/>
    </row>
    <row r="26" spans="1:8" x14ac:dyDescent="0.25">
      <c r="A26" t="s">
        <v>101</v>
      </c>
      <c r="B26" s="37" t="s">
        <v>109</v>
      </c>
      <c r="D26" s="115" t="str">
        <f>IF(VLOOKUP(material_data!C2,material_data!$A$27:'material_data'!$Z101,18,FALSE)="",B26,VLOOKUP(material_data!C2,material_data!$A$27:'material_data'!$Z101,18,FALSE))</f>
        <v>80</v>
      </c>
      <c r="F26" t="str">
        <f>"            &lt;setting key="&amp;D1&amp;"print cooling"&amp;D1&amp;"&gt;"&amp;D26&amp;"&lt;/setting&gt;"</f>
        <v xml:space="preserve">            &lt;setting key="print cooling"&gt;80&lt;/setting&gt;</v>
      </c>
      <c r="H26" s="156"/>
    </row>
    <row r="27" spans="1:8" x14ac:dyDescent="0.25">
      <c r="A27" t="s">
        <v>101</v>
      </c>
      <c r="B27" s="37" t="s">
        <v>112</v>
      </c>
      <c r="D27" s="119" t="str">
        <f>IF(VLOOKUP(material_data!C2,material_data!$A$27:'material_data'!$Z101,16,FALSE)="",B27,VLOOKUP(material_data!C2,material_data!$A$27:'material_data'!$Z101,16,FALSE))</f>
        <v>170</v>
      </c>
      <c r="F27" t="str">
        <f>"            &lt;setting key="&amp;D1&amp;"standby temperature"&amp;D1&amp;"&gt;"&amp;D27&amp;"&lt;/setting&gt;"</f>
        <v xml:space="preserve">            &lt;setting key="standby temperature"&gt;170&lt;/setting&gt;</v>
      </c>
      <c r="H27" s="156"/>
    </row>
    <row r="28" spans="1:8" x14ac:dyDescent="0.25">
      <c r="A28" t="s">
        <v>101</v>
      </c>
      <c r="B28" s="37" t="s">
        <v>270</v>
      </c>
      <c r="D28" s="119" t="str">
        <f>IF(VLOOKUP(material_data!C2,material_data!$A$27:'material_data'!$Z101,19,FALSE)="",B28,VLOOKUP(material_data!C2,material_data!$A$27:'material_data'!$Z101,19,FALSE))</f>
        <v>false</v>
      </c>
      <c r="F28" t="str">
        <f>"            &lt;setting key="&amp;D2&amp;"retraction_enable"&amp;D2&amp;"&gt;"&amp;D28&amp;"&lt;/setting&gt;"</f>
        <v xml:space="preserve">            &lt;setting key=retraction_enable&gt;false&lt;/setting&gt;</v>
      </c>
      <c r="H28" s="156"/>
    </row>
    <row r="29" spans="1:8" x14ac:dyDescent="0.25">
      <c r="A29" t="s">
        <v>101</v>
      </c>
      <c r="B29" s="99" t="str">
        <f>IF(VLOOKUP(material_data!C2,material_data!$A$27:'material_data'!$Z101,19,FALSE)="false","0","40")</f>
        <v>0</v>
      </c>
      <c r="D29" s="115" t="str">
        <f>IF(VLOOKUP(material_data!C2,material_data!$A$27:'material_data'!$Z101,20,FALSE)="",B29,VLOOKUP(material_data!C2,material_data!$A$27:'material_data'!$Z101,20,FALSE))</f>
        <v>0</v>
      </c>
      <c r="F29" t="str">
        <f>IF(D28="false","","            &lt;setting key="&amp;D1&amp;"retraction speed"&amp;D1&amp;"&gt;"&amp;D29&amp;"&lt;/setting&gt;")</f>
        <v/>
      </c>
      <c r="H29" s="156"/>
    </row>
    <row r="30" spans="1:8" x14ac:dyDescent="0.25">
      <c r="A30" t="s">
        <v>101</v>
      </c>
      <c r="B30" s="38" t="str">
        <f>IF(VLOOKUP(material_data!C2,material_data!$A$27:'material_data'!$Z101,19,FALSE)="false","0","4.5")</f>
        <v>0</v>
      </c>
      <c r="D30" s="119" t="str">
        <f>IF(VLOOKUP(material_data!C2,material_data!$A$27:'material_data'!$Z101,21,FALSE)="",B30,VLOOKUP(material_data!C2,material_data!$A$27:'material_data'!$Z101,21,FALSE))</f>
        <v>0</v>
      </c>
      <c r="F30" t="str">
        <f>IF(D28="false","","            &lt;setting key="&amp;D1&amp;"retraction amount"&amp;D1&amp;"&gt;"&amp;D30&amp;"&lt;/setting&gt;")</f>
        <v/>
      </c>
      <c r="H30" s="156"/>
    </row>
    <row r="31" spans="1:8" x14ac:dyDescent="0.25">
      <c r="B31" s="37"/>
      <c r="D31" s="119">
        <f>IF(VLOOKUP(material_data!C2,material_data!$A$27:'material_data'!$Z101,15,FALSE)="",B31,VLOOKUP(material_data!C2,material_data!$A$27:'material_data'!$Z101,15,FALSE))</f>
        <v>225</v>
      </c>
      <c r="F31" t="str">
        <f>"            &lt;setting key="&amp;D1&amp;"print temperature"&amp;D1&amp;"&gt;"&amp;D31&amp;"&lt;/setting&gt;"</f>
        <v xml:space="preserve">            &lt;setting key="print temperature"&gt;225&lt;/setting&gt;</v>
      </c>
      <c r="H31" s="156"/>
    </row>
    <row r="32" spans="1:8" x14ac:dyDescent="0.25">
      <c r="B32" s="37"/>
      <c r="D32" s="41"/>
      <c r="F32" s="157" t="s">
        <v>103</v>
      </c>
      <c r="G32" s="110"/>
      <c r="H32" s="156"/>
    </row>
    <row r="33" spans="1:8" x14ac:dyDescent="0.25">
      <c r="B33" s="37"/>
      <c r="C33" s="30" t="s">
        <v>85</v>
      </c>
      <c r="D33" s="41" t="b">
        <v>1</v>
      </c>
      <c r="F33" s="158"/>
      <c r="G33" s="111"/>
      <c r="H33" s="156"/>
    </row>
    <row r="34" spans="1:8" x14ac:dyDescent="0.25">
      <c r="B34" s="37"/>
      <c r="C34" s="30" t="s">
        <v>86</v>
      </c>
      <c r="D34" s="41" t="b">
        <v>0</v>
      </c>
      <c r="F34" s="158"/>
      <c r="G34" s="111"/>
      <c r="H34" s="156"/>
    </row>
    <row r="35" spans="1:8" x14ac:dyDescent="0.25">
      <c r="B35" s="37"/>
      <c r="C35" s="30" t="s">
        <v>88</v>
      </c>
      <c r="D35" s="41" t="b">
        <v>0</v>
      </c>
      <c r="F35" s="158"/>
      <c r="G35" s="111"/>
      <c r="H35" s="156"/>
    </row>
    <row r="36" spans="1:8" x14ac:dyDescent="0.25">
      <c r="B36" s="37"/>
      <c r="C36" s="30" t="s">
        <v>87</v>
      </c>
      <c r="D36" s="41" t="b">
        <v>0</v>
      </c>
      <c r="F36" s="158"/>
      <c r="G36" s="111"/>
      <c r="H36" s="156"/>
    </row>
    <row r="37" spans="1:8" x14ac:dyDescent="0.25">
      <c r="B37" s="37"/>
      <c r="C37" s="30" t="s">
        <v>89</v>
      </c>
      <c r="D37" s="41" t="b">
        <v>0</v>
      </c>
      <c r="F37" s="158"/>
      <c r="G37" s="111"/>
      <c r="H37" s="156"/>
    </row>
    <row r="38" spans="1:8" x14ac:dyDescent="0.25">
      <c r="B38" s="37"/>
      <c r="C38" s="30" t="s">
        <v>90</v>
      </c>
      <c r="D38" s="41" t="b">
        <v>0</v>
      </c>
      <c r="F38" s="158"/>
      <c r="G38" s="111"/>
      <c r="H38" s="156"/>
    </row>
    <row r="39" spans="1:8" ht="15.75" customHeight="1" x14ac:dyDescent="0.25">
      <c r="D39" s="112" t="s">
        <v>205</v>
      </c>
      <c r="F39" s="157" t="s">
        <v>104</v>
      </c>
      <c r="G39" s="111"/>
      <c r="H39" s="156"/>
    </row>
    <row r="40" spans="1:8" x14ac:dyDescent="0.25">
      <c r="D40" s="41"/>
      <c r="F40" s="158"/>
      <c r="G40" s="111"/>
      <c r="H40" s="156"/>
    </row>
    <row r="41" spans="1:8" x14ac:dyDescent="0.25">
      <c r="A41" t="s">
        <v>84</v>
      </c>
      <c r="B41" t="s">
        <v>162</v>
      </c>
      <c r="D41" s="41"/>
      <c r="F41" s="158"/>
      <c r="G41" s="111"/>
      <c r="H41" s="156"/>
    </row>
    <row r="42" spans="1:8" x14ac:dyDescent="0.25">
      <c r="A42" t="s">
        <v>2</v>
      </c>
      <c r="B42" t="s">
        <v>155</v>
      </c>
      <c r="D42" s="41"/>
      <c r="F42" s="158"/>
      <c r="G42" s="111"/>
      <c r="H42" s="156"/>
    </row>
    <row r="43" spans="1:8" x14ac:dyDescent="0.25">
      <c r="A43" t="s">
        <v>6</v>
      </c>
      <c r="B43" t="s">
        <v>142</v>
      </c>
      <c r="D43" s="41"/>
      <c r="F43" s="158"/>
      <c r="G43" s="111"/>
      <c r="H43" s="156"/>
    </row>
    <row r="44" spans="1:8" x14ac:dyDescent="0.25">
      <c r="A44" t="s">
        <v>168</v>
      </c>
      <c r="B44" t="s">
        <v>126</v>
      </c>
      <c r="D44" s="41"/>
      <c r="F44" s="158"/>
      <c r="G44" s="111"/>
      <c r="H44" s="156"/>
    </row>
    <row r="45" spans="1:8" x14ac:dyDescent="0.25">
      <c r="A45" t="s">
        <v>182</v>
      </c>
      <c r="B45" t="s">
        <v>131</v>
      </c>
      <c r="F45" s="158"/>
      <c r="G45" s="111"/>
      <c r="H45" s="156"/>
    </row>
    <row r="46" spans="1:8" x14ac:dyDescent="0.25">
      <c r="A46" t="s">
        <v>169</v>
      </c>
      <c r="B46" t="s">
        <v>157</v>
      </c>
      <c r="F46" s="158"/>
      <c r="G46" s="111"/>
      <c r="H46" s="156"/>
    </row>
    <row r="47" spans="1:8" x14ac:dyDescent="0.25">
      <c r="A47" t="s">
        <v>167</v>
      </c>
      <c r="B47" t="s">
        <v>121</v>
      </c>
      <c r="F47" s="158"/>
      <c r="G47" s="111"/>
      <c r="H47" s="156"/>
    </row>
    <row r="48" spans="1:8" x14ac:dyDescent="0.25">
      <c r="A48" t="s">
        <v>68</v>
      </c>
      <c r="B48" t="s">
        <v>143</v>
      </c>
      <c r="F48" s="157" t="s">
        <v>105</v>
      </c>
      <c r="G48" s="110"/>
      <c r="H48" s="156"/>
    </row>
    <row r="49" spans="1:8" ht="15.75" thickBot="1" x14ac:dyDescent="0.3">
      <c r="A49" s="27" t="s">
        <v>170</v>
      </c>
      <c r="B49" s="27" t="s">
        <v>147</v>
      </c>
      <c r="F49" s="158"/>
      <c r="G49" s="111"/>
      <c r="H49" s="156"/>
    </row>
    <row r="50" spans="1:8" x14ac:dyDescent="0.25">
      <c r="F50" s="158"/>
      <c r="G50" s="111"/>
      <c r="H50" s="156"/>
    </row>
    <row r="51" spans="1:8" x14ac:dyDescent="0.25">
      <c r="F51" s="158"/>
      <c r="G51" s="111"/>
      <c r="H51" s="156"/>
    </row>
    <row r="52" spans="1:8" x14ac:dyDescent="0.25">
      <c r="F52" s="158"/>
      <c r="G52" s="111"/>
      <c r="H52" s="156"/>
    </row>
    <row r="53" spans="1:8" x14ac:dyDescent="0.25">
      <c r="F53" s="158"/>
      <c r="G53" s="111"/>
      <c r="H53" s="156"/>
    </row>
    <row r="54" spans="1:8" x14ac:dyDescent="0.25">
      <c r="F54" s="158"/>
      <c r="G54" s="111"/>
      <c r="H54" s="156"/>
    </row>
    <row r="55" spans="1:8" x14ac:dyDescent="0.25">
      <c r="F55" s="158"/>
      <c r="G55" s="111"/>
      <c r="H55" s="156"/>
    </row>
    <row r="56" spans="1:8" x14ac:dyDescent="0.25">
      <c r="F56" s="158"/>
      <c r="G56" s="111"/>
      <c r="H56" s="156"/>
    </row>
    <row r="57" spans="1:8" x14ac:dyDescent="0.25">
      <c r="F57" s="157" t="s">
        <v>204</v>
      </c>
      <c r="G57" s="110"/>
      <c r="H57" s="156"/>
    </row>
    <row r="58" spans="1:8" x14ac:dyDescent="0.25">
      <c r="F58" s="158"/>
      <c r="G58" s="111"/>
      <c r="H58" s="156"/>
    </row>
    <row r="59" spans="1:8" x14ac:dyDescent="0.25">
      <c r="F59" s="158"/>
      <c r="G59" s="111"/>
      <c r="H59" s="156"/>
    </row>
    <row r="60" spans="1:8" x14ac:dyDescent="0.25">
      <c r="F60" s="158"/>
      <c r="G60" s="111"/>
      <c r="H60" s="156"/>
    </row>
    <row r="61" spans="1:8" x14ac:dyDescent="0.25">
      <c r="F61" s="158"/>
      <c r="G61" s="111"/>
      <c r="H61" s="156"/>
    </row>
    <row r="62" spans="1:8" x14ac:dyDescent="0.25">
      <c r="F62" s="158"/>
      <c r="G62" s="111"/>
      <c r="H62" s="156"/>
    </row>
    <row r="63" spans="1:8" x14ac:dyDescent="0.25">
      <c r="F63" s="158"/>
      <c r="G63" s="111"/>
      <c r="H63" s="156"/>
    </row>
    <row r="64" spans="1:8" x14ac:dyDescent="0.25">
      <c r="F64" s="158"/>
      <c r="G64" s="111"/>
      <c r="H64" s="156"/>
    </row>
    <row r="65" spans="6:8" x14ac:dyDescent="0.25">
      <c r="F65" s="158"/>
      <c r="G65" s="111"/>
      <c r="H65" s="156"/>
    </row>
    <row r="66" spans="6:8" x14ac:dyDescent="0.25">
      <c r="F66" s="158"/>
      <c r="G66" s="111"/>
      <c r="H66" s="156"/>
    </row>
    <row r="67" spans="6:8" x14ac:dyDescent="0.25">
      <c r="F67" s="157" t="s">
        <v>106</v>
      </c>
      <c r="G67" s="110"/>
      <c r="H67" s="156"/>
    </row>
    <row r="68" spans="6:8" x14ac:dyDescent="0.25">
      <c r="F68" s="158"/>
      <c r="G68" s="111"/>
      <c r="H68" s="156"/>
    </row>
    <row r="69" spans="6:8" x14ac:dyDescent="0.25">
      <c r="F69" s="158"/>
      <c r="G69" s="111"/>
      <c r="H69" s="156"/>
    </row>
    <row r="70" spans="6:8" x14ac:dyDescent="0.25">
      <c r="F70" s="158"/>
      <c r="G70" s="111"/>
      <c r="H70" s="156"/>
    </row>
    <row r="71" spans="6:8" x14ac:dyDescent="0.25">
      <c r="F71" s="158"/>
      <c r="G71" s="111"/>
      <c r="H71" s="156"/>
    </row>
    <row r="72" spans="6:8" x14ac:dyDescent="0.25">
      <c r="F72" s="158"/>
      <c r="G72" s="111"/>
      <c r="H72" s="156"/>
    </row>
    <row r="73" spans="6:8" x14ac:dyDescent="0.25">
      <c r="F73" s="158"/>
      <c r="G73" s="111"/>
      <c r="H73" s="156"/>
    </row>
    <row r="74" spans="6:8" x14ac:dyDescent="0.25">
      <c r="F74" s="158"/>
      <c r="G74" s="111"/>
      <c r="H74" s="156"/>
    </row>
    <row r="75" spans="6:8" x14ac:dyDescent="0.25">
      <c r="F75" s="158"/>
      <c r="G75" s="111"/>
      <c r="H75" s="156"/>
    </row>
    <row r="76" spans="6:8" x14ac:dyDescent="0.25">
      <c r="F76" s="157" t="s">
        <v>107</v>
      </c>
      <c r="G76" s="110"/>
      <c r="H76" s="156"/>
    </row>
    <row r="77" spans="6:8" x14ac:dyDescent="0.25">
      <c r="F77" s="158"/>
      <c r="G77" s="111"/>
      <c r="H77" s="156"/>
    </row>
    <row r="78" spans="6:8" x14ac:dyDescent="0.25">
      <c r="F78" s="158"/>
      <c r="G78" s="111"/>
      <c r="H78" s="156"/>
    </row>
    <row r="79" spans="6:8" x14ac:dyDescent="0.25">
      <c r="F79" s="158"/>
      <c r="G79" s="111"/>
      <c r="H79" s="156"/>
    </row>
    <row r="80" spans="6:8" x14ac:dyDescent="0.25">
      <c r="F80" s="158"/>
      <c r="G80" s="111"/>
      <c r="H80" s="156"/>
    </row>
    <row r="81" spans="6:8" x14ac:dyDescent="0.25">
      <c r="F81" s="158"/>
      <c r="G81" s="111"/>
      <c r="H81" s="156"/>
    </row>
    <row r="82" spans="6:8" x14ac:dyDescent="0.25">
      <c r="F82" s="158"/>
      <c r="G82" s="111"/>
      <c r="H82" s="156"/>
    </row>
    <row r="83" spans="6:8" x14ac:dyDescent="0.25">
      <c r="F83" s="158"/>
      <c r="G83" s="111"/>
      <c r="H83" s="156"/>
    </row>
    <row r="84" spans="6:8" x14ac:dyDescent="0.25">
      <c r="F84" s="158"/>
      <c r="G84" s="111"/>
      <c r="H84" s="156"/>
    </row>
    <row r="85" spans="6:8" x14ac:dyDescent="0.25">
      <c r="F85" s="158"/>
      <c r="G85" s="111"/>
      <c r="H85" s="156"/>
    </row>
    <row r="86" spans="6:8" x14ac:dyDescent="0.25">
      <c r="F86" s="157" t="s">
        <v>83</v>
      </c>
      <c r="G86" s="110"/>
      <c r="H86" s="156"/>
    </row>
    <row r="87" spans="6:8" x14ac:dyDescent="0.25">
      <c r="F87" s="158"/>
      <c r="G87" s="111"/>
      <c r="H87" s="156"/>
    </row>
  </sheetData>
  <mergeCells count="9">
    <mergeCell ref="H3:H87"/>
    <mergeCell ref="F67:F75"/>
    <mergeCell ref="F76:F85"/>
    <mergeCell ref="F86:F87"/>
    <mergeCell ref="F3:F6"/>
    <mergeCell ref="F32:F38"/>
    <mergeCell ref="F39:F47"/>
    <mergeCell ref="F48:F56"/>
    <mergeCell ref="F57:F66"/>
  </mergeCells>
  <pageMargins left="0.7" right="0.7" top="0.78740157499999996" bottom="0.78740157499999996" header="0.3" footer="0.3"/>
  <ignoredErrors>
    <ignoredError sqref="B26:B27 B19" numberStoredAsText="1"/>
    <ignoredError sqref="B20" twoDigitTextYea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Check Box 7">
              <controlPr defaultSize="0" autoFill="0" autoLine="0" autoPict="0">
                <anchor moveWithCells="1">
                  <from>
                    <xdr:col>2</xdr:col>
                    <xdr:colOff>2047875</xdr:colOff>
                    <xdr:row>31</xdr:row>
                    <xdr:rowOff>161925</xdr:rowOff>
                  </from>
                  <to>
                    <xdr:col>2</xdr:col>
                    <xdr:colOff>2295525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Check Box 8">
              <controlPr defaultSize="0" autoFill="0" autoLine="0" autoPict="0">
                <anchor moveWithCells="1">
                  <from>
                    <xdr:col>2</xdr:col>
                    <xdr:colOff>2047875</xdr:colOff>
                    <xdr:row>32</xdr:row>
                    <xdr:rowOff>161925</xdr:rowOff>
                  </from>
                  <to>
                    <xdr:col>2</xdr:col>
                    <xdr:colOff>2295525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Check Box 9">
              <controlPr defaultSize="0" autoFill="0" autoLine="0" autoPict="0">
                <anchor moveWithCells="1">
                  <from>
                    <xdr:col>2</xdr:col>
                    <xdr:colOff>2047875</xdr:colOff>
                    <xdr:row>33</xdr:row>
                    <xdr:rowOff>161925</xdr:rowOff>
                  </from>
                  <to>
                    <xdr:col>2</xdr:col>
                    <xdr:colOff>2295525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2</xdr:col>
                    <xdr:colOff>2047875</xdr:colOff>
                    <xdr:row>34</xdr:row>
                    <xdr:rowOff>161925</xdr:rowOff>
                  </from>
                  <to>
                    <xdr:col>2</xdr:col>
                    <xdr:colOff>2295525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heck Box 11">
              <controlPr defaultSize="0" autoFill="0" autoLine="0" autoPict="0">
                <anchor moveWithCells="1">
                  <from>
                    <xdr:col>2</xdr:col>
                    <xdr:colOff>2047875</xdr:colOff>
                    <xdr:row>35</xdr:row>
                    <xdr:rowOff>161925</xdr:rowOff>
                  </from>
                  <to>
                    <xdr:col>2</xdr:col>
                    <xdr:colOff>2295525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2</xdr:col>
                    <xdr:colOff>2047875</xdr:colOff>
                    <xdr:row>36</xdr:row>
                    <xdr:rowOff>161925</xdr:rowOff>
                  </from>
                  <to>
                    <xdr:col>2</xdr:col>
                    <xdr:colOff>2295525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C2:F58"/>
  <sheetViews>
    <sheetView workbookViewId="0">
      <selection activeCell="G1" sqref="G1:G1048576"/>
    </sheetView>
  </sheetViews>
  <sheetFormatPr baseColWidth="10" defaultRowHeight="15" x14ac:dyDescent="0.25"/>
  <cols>
    <col min="3" max="3" width="9.42578125" bestFit="1" customWidth="1"/>
  </cols>
  <sheetData>
    <row r="2" spans="3:6" x14ac:dyDescent="0.25">
      <c r="C2" s="48" t="s">
        <v>115</v>
      </c>
      <c r="D2" s="49" t="s">
        <v>116</v>
      </c>
      <c r="E2" s="50" t="s">
        <v>117</v>
      </c>
      <c r="F2" s="51" t="s">
        <v>118</v>
      </c>
    </row>
    <row r="3" spans="3:6" x14ac:dyDescent="0.25">
      <c r="C3" s="52" t="s">
        <v>119</v>
      </c>
      <c r="D3" s="53">
        <v>0</v>
      </c>
      <c r="E3" s="53">
        <v>0</v>
      </c>
      <c r="F3" s="53">
        <v>0</v>
      </c>
    </row>
    <row r="4" spans="3:6" x14ac:dyDescent="0.25">
      <c r="C4" s="47" t="s">
        <v>120</v>
      </c>
      <c r="D4" s="53">
        <v>255</v>
      </c>
      <c r="E4" s="53">
        <v>255</v>
      </c>
      <c r="F4" s="53">
        <v>255</v>
      </c>
    </row>
    <row r="5" spans="3:6" x14ac:dyDescent="0.25">
      <c r="C5" s="54" t="s">
        <v>121</v>
      </c>
      <c r="D5" s="53">
        <v>255</v>
      </c>
      <c r="E5" s="53">
        <v>0</v>
      </c>
      <c r="F5" s="53">
        <v>0</v>
      </c>
    </row>
    <row r="6" spans="3:6" x14ac:dyDescent="0.25">
      <c r="C6" s="55" t="s">
        <v>122</v>
      </c>
      <c r="D6" s="53">
        <v>0</v>
      </c>
      <c r="E6" s="53">
        <v>255</v>
      </c>
      <c r="F6" s="53">
        <v>0</v>
      </c>
    </row>
    <row r="7" spans="3:6" x14ac:dyDescent="0.25">
      <c r="C7" s="56" t="s">
        <v>123</v>
      </c>
      <c r="D7" s="53">
        <v>0</v>
      </c>
      <c r="E7" s="53">
        <v>0</v>
      </c>
      <c r="F7" s="53">
        <v>255</v>
      </c>
    </row>
    <row r="8" spans="3:6" x14ac:dyDescent="0.25">
      <c r="C8" s="57" t="s">
        <v>124</v>
      </c>
      <c r="D8" s="53">
        <v>255</v>
      </c>
      <c r="E8" s="53">
        <v>255</v>
      </c>
      <c r="F8" s="53">
        <v>0</v>
      </c>
    </row>
    <row r="9" spans="3:6" x14ac:dyDescent="0.25">
      <c r="C9" s="58" t="s">
        <v>125</v>
      </c>
      <c r="D9" s="53">
        <v>255</v>
      </c>
      <c r="E9" s="53">
        <v>0</v>
      </c>
      <c r="F9" s="53">
        <v>255</v>
      </c>
    </row>
    <row r="10" spans="3:6" x14ac:dyDescent="0.25">
      <c r="C10" s="59" t="s">
        <v>126</v>
      </c>
      <c r="D10" s="53">
        <v>0</v>
      </c>
      <c r="E10" s="53">
        <v>255</v>
      </c>
      <c r="F10" s="53">
        <v>255</v>
      </c>
    </row>
    <row r="11" spans="3:6" x14ac:dyDescent="0.25">
      <c r="C11" s="60" t="s">
        <v>127</v>
      </c>
      <c r="D11" s="53">
        <v>128</v>
      </c>
      <c r="E11" s="53">
        <v>0</v>
      </c>
      <c r="F11" s="53">
        <v>0</v>
      </c>
    </row>
    <row r="12" spans="3:6" x14ac:dyDescent="0.25">
      <c r="C12" s="61" t="s">
        <v>128</v>
      </c>
      <c r="D12" s="53">
        <v>0</v>
      </c>
      <c r="E12" s="53">
        <v>128</v>
      </c>
      <c r="F12" s="53">
        <v>0</v>
      </c>
    </row>
    <row r="13" spans="3:6" x14ac:dyDescent="0.25">
      <c r="C13" s="62" t="s">
        <v>129</v>
      </c>
      <c r="D13" s="53">
        <v>0</v>
      </c>
      <c r="E13" s="53">
        <v>0</v>
      </c>
      <c r="F13" s="53">
        <v>128</v>
      </c>
    </row>
    <row r="14" spans="3:6" x14ac:dyDescent="0.25">
      <c r="C14" s="63" t="s">
        <v>130</v>
      </c>
      <c r="D14" s="53">
        <v>128</v>
      </c>
      <c r="E14" s="53">
        <v>128</v>
      </c>
      <c r="F14" s="53">
        <v>0</v>
      </c>
    </row>
    <row r="15" spans="3:6" x14ac:dyDescent="0.25">
      <c r="C15" s="64" t="s">
        <v>131</v>
      </c>
      <c r="D15" s="53">
        <v>128</v>
      </c>
      <c r="E15" s="53">
        <v>0</v>
      </c>
      <c r="F15" s="53">
        <v>128</v>
      </c>
    </row>
    <row r="16" spans="3:6" x14ac:dyDescent="0.25">
      <c r="C16" s="65" t="s">
        <v>132</v>
      </c>
      <c r="D16" s="53">
        <v>0</v>
      </c>
      <c r="E16" s="53">
        <v>128</v>
      </c>
      <c r="F16" s="53">
        <v>128</v>
      </c>
    </row>
    <row r="17" spans="3:6" x14ac:dyDescent="0.25">
      <c r="C17" s="66" t="s">
        <v>133</v>
      </c>
      <c r="D17" s="53">
        <v>192</v>
      </c>
      <c r="E17" s="53">
        <v>192</v>
      </c>
      <c r="F17" s="53">
        <v>192</v>
      </c>
    </row>
    <row r="18" spans="3:6" x14ac:dyDescent="0.25">
      <c r="C18" s="67" t="s">
        <v>134</v>
      </c>
      <c r="D18" s="53">
        <v>128</v>
      </c>
      <c r="E18" s="53">
        <v>128</v>
      </c>
      <c r="F18" s="53">
        <v>128</v>
      </c>
    </row>
    <row r="19" spans="3:6" x14ac:dyDescent="0.25">
      <c r="C19" s="68" t="s">
        <v>135</v>
      </c>
      <c r="D19" s="53">
        <v>153</v>
      </c>
      <c r="E19" s="53">
        <v>153</v>
      </c>
      <c r="F19" s="53">
        <v>255</v>
      </c>
    </row>
    <row r="20" spans="3:6" x14ac:dyDescent="0.25">
      <c r="C20" s="69" t="s">
        <v>136</v>
      </c>
      <c r="D20" s="53">
        <v>153</v>
      </c>
      <c r="E20" s="53">
        <v>51</v>
      </c>
      <c r="F20" s="53">
        <v>102</v>
      </c>
    </row>
    <row r="21" spans="3:6" x14ac:dyDescent="0.25">
      <c r="C21" s="70" t="s">
        <v>137</v>
      </c>
      <c r="D21" s="53">
        <v>255</v>
      </c>
      <c r="E21" s="53">
        <v>255</v>
      </c>
      <c r="F21" s="53">
        <v>204</v>
      </c>
    </row>
    <row r="22" spans="3:6" x14ac:dyDescent="0.25">
      <c r="C22" s="71" t="s">
        <v>138</v>
      </c>
      <c r="D22" s="53">
        <v>204</v>
      </c>
      <c r="E22" s="53">
        <v>255</v>
      </c>
      <c r="F22" s="53">
        <v>255</v>
      </c>
    </row>
    <row r="23" spans="3:6" x14ac:dyDescent="0.25">
      <c r="C23" s="72" t="s">
        <v>139</v>
      </c>
      <c r="D23" s="53">
        <v>102</v>
      </c>
      <c r="E23" s="53">
        <v>0</v>
      </c>
      <c r="F23" s="53">
        <v>102</v>
      </c>
    </row>
    <row r="24" spans="3:6" x14ac:dyDescent="0.25">
      <c r="C24" s="73" t="s">
        <v>140</v>
      </c>
      <c r="D24" s="53">
        <v>255</v>
      </c>
      <c r="E24" s="53">
        <v>128</v>
      </c>
      <c r="F24" s="53">
        <v>128</v>
      </c>
    </row>
    <row r="25" spans="3:6" x14ac:dyDescent="0.25">
      <c r="C25" s="74" t="s">
        <v>141</v>
      </c>
      <c r="D25" s="53">
        <v>0</v>
      </c>
      <c r="E25" s="53">
        <v>102</v>
      </c>
      <c r="F25" s="53">
        <v>204</v>
      </c>
    </row>
    <row r="26" spans="3:6" x14ac:dyDescent="0.25">
      <c r="C26" s="75" t="s">
        <v>142</v>
      </c>
      <c r="D26" s="53">
        <v>204</v>
      </c>
      <c r="E26" s="53">
        <v>204</v>
      </c>
      <c r="F26" s="53">
        <v>255</v>
      </c>
    </row>
    <row r="27" spans="3:6" x14ac:dyDescent="0.25">
      <c r="C27" s="62" t="s">
        <v>129</v>
      </c>
      <c r="D27" s="53">
        <v>0</v>
      </c>
      <c r="E27" s="53">
        <v>0</v>
      </c>
      <c r="F27" s="53">
        <v>128</v>
      </c>
    </row>
    <row r="28" spans="3:6" x14ac:dyDescent="0.25">
      <c r="C28" s="58" t="s">
        <v>125</v>
      </c>
      <c r="D28" s="53">
        <v>255</v>
      </c>
      <c r="E28" s="53">
        <v>0</v>
      </c>
      <c r="F28" s="53">
        <v>255</v>
      </c>
    </row>
    <row r="29" spans="3:6" x14ac:dyDescent="0.25">
      <c r="C29" s="57" t="s">
        <v>124</v>
      </c>
      <c r="D29" s="53">
        <v>255</v>
      </c>
      <c r="E29" s="53">
        <v>255</v>
      </c>
      <c r="F29" s="53">
        <v>0</v>
      </c>
    </row>
    <row r="30" spans="3:6" x14ac:dyDescent="0.25">
      <c r="C30" s="59" t="s">
        <v>126</v>
      </c>
      <c r="D30" s="53">
        <v>0</v>
      </c>
      <c r="E30" s="53">
        <v>255</v>
      </c>
      <c r="F30" s="53">
        <v>255</v>
      </c>
    </row>
    <row r="31" spans="3:6" x14ac:dyDescent="0.25">
      <c r="C31" s="64" t="s">
        <v>131</v>
      </c>
      <c r="D31" s="53">
        <v>128</v>
      </c>
      <c r="E31" s="53">
        <v>0</v>
      </c>
      <c r="F31" s="53">
        <v>128</v>
      </c>
    </row>
    <row r="32" spans="3:6" x14ac:dyDescent="0.25">
      <c r="C32" s="60" t="s">
        <v>127</v>
      </c>
      <c r="D32" s="53">
        <v>128</v>
      </c>
      <c r="E32" s="53">
        <v>0</v>
      </c>
      <c r="F32" s="53">
        <v>0</v>
      </c>
    </row>
    <row r="33" spans="3:6" x14ac:dyDescent="0.25">
      <c r="C33" s="65" t="s">
        <v>132</v>
      </c>
      <c r="D33" s="53">
        <v>0</v>
      </c>
      <c r="E33" s="53">
        <v>128</v>
      </c>
      <c r="F33" s="53">
        <v>128</v>
      </c>
    </row>
    <row r="34" spans="3:6" x14ac:dyDescent="0.25">
      <c r="C34" s="56" t="s">
        <v>123</v>
      </c>
      <c r="D34" s="53">
        <v>0</v>
      </c>
      <c r="E34" s="53">
        <v>0</v>
      </c>
      <c r="F34" s="53">
        <v>255</v>
      </c>
    </row>
    <row r="35" spans="3:6" x14ac:dyDescent="0.25">
      <c r="C35" s="76" t="s">
        <v>143</v>
      </c>
      <c r="D35" s="53">
        <v>0</v>
      </c>
      <c r="E35" s="53">
        <v>204</v>
      </c>
      <c r="F35" s="53">
        <v>255</v>
      </c>
    </row>
    <row r="36" spans="3:6" x14ac:dyDescent="0.25">
      <c r="C36" s="71" t="s">
        <v>138</v>
      </c>
      <c r="D36" s="53">
        <v>204</v>
      </c>
      <c r="E36" s="53">
        <v>255</v>
      </c>
      <c r="F36" s="53">
        <v>255</v>
      </c>
    </row>
    <row r="37" spans="3:6" x14ac:dyDescent="0.25">
      <c r="C37" s="77" t="s">
        <v>144</v>
      </c>
      <c r="D37" s="53">
        <v>204</v>
      </c>
      <c r="E37" s="53">
        <v>255</v>
      </c>
      <c r="F37" s="53">
        <v>204</v>
      </c>
    </row>
    <row r="38" spans="3:6" x14ac:dyDescent="0.25">
      <c r="C38" s="78" t="s">
        <v>145</v>
      </c>
      <c r="D38" s="53">
        <v>255</v>
      </c>
      <c r="E38" s="53">
        <v>255</v>
      </c>
      <c r="F38" s="53">
        <v>153</v>
      </c>
    </row>
    <row r="39" spans="3:6" x14ac:dyDescent="0.25">
      <c r="C39" s="79" t="s">
        <v>146</v>
      </c>
      <c r="D39" s="53">
        <v>153</v>
      </c>
      <c r="E39" s="53">
        <v>204</v>
      </c>
      <c r="F39" s="53">
        <v>255</v>
      </c>
    </row>
    <row r="40" spans="3:6" x14ac:dyDescent="0.25">
      <c r="C40" s="80" t="s">
        <v>147</v>
      </c>
      <c r="D40" s="53">
        <v>255</v>
      </c>
      <c r="E40" s="53">
        <v>153</v>
      </c>
      <c r="F40" s="53">
        <v>204</v>
      </c>
    </row>
    <row r="41" spans="3:6" x14ac:dyDescent="0.25">
      <c r="C41" s="81" t="s">
        <v>148</v>
      </c>
      <c r="D41" s="53">
        <v>204</v>
      </c>
      <c r="E41" s="53">
        <v>153</v>
      </c>
      <c r="F41" s="53">
        <v>255</v>
      </c>
    </row>
    <row r="42" spans="3:6" x14ac:dyDescent="0.25">
      <c r="C42" s="82" t="s">
        <v>149</v>
      </c>
      <c r="D42" s="53">
        <v>255</v>
      </c>
      <c r="E42" s="53">
        <v>204</v>
      </c>
      <c r="F42" s="53">
        <v>153</v>
      </c>
    </row>
    <row r="43" spans="3:6" x14ac:dyDescent="0.25">
      <c r="C43" s="83" t="s">
        <v>150</v>
      </c>
      <c r="D43" s="53">
        <v>51</v>
      </c>
      <c r="E43" s="53">
        <v>102</v>
      </c>
      <c r="F43" s="53">
        <v>255</v>
      </c>
    </row>
    <row r="44" spans="3:6" x14ac:dyDescent="0.25">
      <c r="C44" s="84" t="s">
        <v>151</v>
      </c>
      <c r="D44" s="53">
        <v>51</v>
      </c>
      <c r="E44" s="53">
        <v>204</v>
      </c>
      <c r="F44" s="53">
        <v>204</v>
      </c>
    </row>
    <row r="45" spans="3:6" x14ac:dyDescent="0.25">
      <c r="C45" s="85" t="s">
        <v>152</v>
      </c>
      <c r="D45" s="53">
        <v>153</v>
      </c>
      <c r="E45" s="53">
        <v>204</v>
      </c>
      <c r="F45" s="53">
        <v>0</v>
      </c>
    </row>
    <row r="46" spans="3:6" x14ac:dyDescent="0.25">
      <c r="C46" s="86" t="s">
        <v>153</v>
      </c>
      <c r="D46" s="53">
        <v>255</v>
      </c>
      <c r="E46" s="53">
        <v>204</v>
      </c>
      <c r="F46" s="53">
        <v>0</v>
      </c>
    </row>
    <row r="47" spans="3:6" x14ac:dyDescent="0.25">
      <c r="C47" s="87" t="s">
        <v>154</v>
      </c>
      <c r="D47" s="53">
        <v>255</v>
      </c>
      <c r="E47" s="53">
        <v>153</v>
      </c>
      <c r="F47" s="53">
        <v>0</v>
      </c>
    </row>
    <row r="48" spans="3:6" x14ac:dyDescent="0.25">
      <c r="C48" s="88" t="s">
        <v>155</v>
      </c>
      <c r="D48" s="53">
        <v>255</v>
      </c>
      <c r="E48" s="53">
        <v>102</v>
      </c>
      <c r="F48" s="53">
        <v>0</v>
      </c>
    </row>
    <row r="49" spans="3:6" x14ac:dyDescent="0.25">
      <c r="C49" s="89" t="s">
        <v>156</v>
      </c>
      <c r="D49" s="53">
        <v>102</v>
      </c>
      <c r="E49" s="53">
        <v>102</v>
      </c>
      <c r="F49" s="53">
        <v>153</v>
      </c>
    </row>
    <row r="50" spans="3:6" x14ac:dyDescent="0.25">
      <c r="C50" s="90" t="s">
        <v>157</v>
      </c>
      <c r="D50" s="53">
        <v>150</v>
      </c>
      <c r="E50" s="53">
        <v>150</v>
      </c>
      <c r="F50" s="53">
        <v>150</v>
      </c>
    </row>
    <row r="51" spans="3:6" x14ac:dyDescent="0.25">
      <c r="C51" s="91" t="s">
        <v>158</v>
      </c>
      <c r="D51" s="53">
        <v>0</v>
      </c>
      <c r="E51" s="53">
        <v>51</v>
      </c>
      <c r="F51" s="53">
        <v>102</v>
      </c>
    </row>
    <row r="52" spans="3:6" x14ac:dyDescent="0.25">
      <c r="C52" s="92" t="s">
        <v>159</v>
      </c>
      <c r="D52" s="53">
        <v>51</v>
      </c>
      <c r="E52" s="53">
        <v>153</v>
      </c>
      <c r="F52" s="53">
        <v>102</v>
      </c>
    </row>
    <row r="53" spans="3:6" x14ac:dyDescent="0.25">
      <c r="C53" s="93" t="s">
        <v>160</v>
      </c>
      <c r="D53" s="53">
        <v>0</v>
      </c>
      <c r="E53" s="53">
        <v>51</v>
      </c>
      <c r="F53" s="53">
        <v>0</v>
      </c>
    </row>
    <row r="54" spans="3:6" x14ac:dyDescent="0.25">
      <c r="C54" s="94" t="s">
        <v>161</v>
      </c>
      <c r="D54" s="53">
        <v>51</v>
      </c>
      <c r="E54" s="53">
        <v>51</v>
      </c>
      <c r="F54" s="53">
        <v>0</v>
      </c>
    </row>
    <row r="55" spans="3:6" x14ac:dyDescent="0.25">
      <c r="C55" s="95" t="s">
        <v>162</v>
      </c>
      <c r="D55" s="53">
        <v>153</v>
      </c>
      <c r="E55" s="53">
        <v>51</v>
      </c>
      <c r="F55" s="53">
        <v>0</v>
      </c>
    </row>
    <row r="56" spans="3:6" x14ac:dyDescent="0.25">
      <c r="C56" s="69" t="s">
        <v>136</v>
      </c>
      <c r="D56" s="53">
        <v>153</v>
      </c>
      <c r="E56" s="53">
        <v>51</v>
      </c>
      <c r="F56" s="53">
        <v>102</v>
      </c>
    </row>
    <row r="57" spans="3:6" x14ac:dyDescent="0.25">
      <c r="C57" s="96" t="s">
        <v>163</v>
      </c>
      <c r="D57" s="53">
        <v>51</v>
      </c>
      <c r="E57" s="53">
        <v>51</v>
      </c>
      <c r="F57" s="53">
        <v>153</v>
      </c>
    </row>
    <row r="58" spans="3:6" x14ac:dyDescent="0.25">
      <c r="C58" s="97" t="s">
        <v>164</v>
      </c>
      <c r="D58" s="53">
        <v>51</v>
      </c>
      <c r="E58" s="53">
        <v>51</v>
      </c>
      <c r="F58" s="53">
        <v>51</v>
      </c>
    </row>
  </sheetData>
  <hyperlinks>
    <hyperlink ref="D2" r:id="rId1" location="hexconv" display="http://dmcritchie.mvps.org/excel/colors.htm - hexconv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material_data</vt:lpstr>
      <vt:lpstr>parser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Eberl, Christian AVL/AT</dc:creator>
  <cp:lastModifiedBy>Eberl, Christian AVL/AT</cp:lastModifiedBy>
  <dcterms:created xsi:type="dcterms:W3CDTF">2006-09-16T00:00:00Z</dcterms:created>
  <dcterms:modified xsi:type="dcterms:W3CDTF">2018-06-08T13:32:38Z</dcterms:modified>
</cp:coreProperties>
</file>